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filterPrivacy="1" codeName="ThisWorkbook" autoCompressPictures="0"/>
  <xr:revisionPtr revIDLastSave="0" documentId="13_ncr:1_{5A8417C1-6840-4441-8E58-C7E9497721BA}" xr6:coauthVersionLast="40" xr6:coauthVersionMax="40" xr10:uidLastSave="{00000000-0000-0000-0000-000000000000}"/>
  <bookViews>
    <workbookView xWindow="1320" yWindow="150" windowWidth="17880" windowHeight="6810" xr2:uid="{00000000-000D-0000-FFFF-FFFF00000000}"/>
  </bookViews>
  <sheets>
    <sheet name="Weekly" sheetId="15" r:id="rId1"/>
    <sheet name="Analyze" sheetId="22" r:id="rId2"/>
    <sheet name="WSummary" sheetId="20" r:id="rId3"/>
    <sheet name="Rules" sheetId="21" r:id="rId4"/>
  </sheets>
  <functionGroups builtInGroupCount="19"/>
  <definedNames>
    <definedName name="_xlnm._FilterDatabase" localSheetId="0" hidden="1">Weekly!$D$1:$D$1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95" i="20" l="1"/>
  <c r="F95" i="20"/>
  <c r="E95" i="20"/>
  <c r="D95" i="20"/>
  <c r="C95" i="20"/>
  <c r="B95" i="20"/>
  <c r="A95" i="20"/>
  <c r="G94" i="20"/>
  <c r="F94" i="20"/>
  <c r="E94" i="20"/>
  <c r="D94" i="20"/>
  <c r="C94" i="20"/>
  <c r="B94" i="20"/>
  <c r="A94" i="20"/>
  <c r="G93" i="20"/>
  <c r="F93" i="20"/>
  <c r="E93" i="20"/>
  <c r="D93" i="20"/>
  <c r="C93" i="20"/>
  <c r="B93" i="20"/>
  <c r="A93" i="20"/>
  <c r="G92" i="20"/>
  <c r="F92" i="20"/>
  <c r="E92" i="20"/>
  <c r="D92" i="20"/>
  <c r="C92" i="20"/>
  <c r="B92" i="20"/>
  <c r="A92" i="20"/>
  <c r="G91" i="20"/>
  <c r="F91" i="20"/>
  <c r="E91" i="20"/>
  <c r="D91" i="20"/>
  <c r="C91" i="20"/>
  <c r="B91" i="20"/>
  <c r="A91" i="20"/>
  <c r="G90" i="20"/>
  <c r="F90" i="20"/>
  <c r="E90" i="20"/>
  <c r="D90" i="20"/>
  <c r="C90" i="20"/>
  <c r="B90" i="20"/>
  <c r="A90" i="20"/>
  <c r="G89" i="20"/>
  <c r="F89" i="20"/>
  <c r="E89" i="20"/>
  <c r="D89" i="20"/>
  <c r="C89" i="20"/>
  <c r="B89" i="20"/>
  <c r="A89" i="20"/>
  <c r="G88" i="20"/>
  <c r="F88" i="20"/>
  <c r="E88" i="20"/>
  <c r="D88" i="20"/>
  <c r="C88" i="20"/>
  <c r="B88" i="20"/>
  <c r="A88" i="20"/>
  <c r="G87" i="20"/>
  <c r="F87" i="20"/>
  <c r="E87" i="20"/>
  <c r="D87" i="20"/>
  <c r="C87" i="20"/>
  <c r="B87" i="20"/>
  <c r="A87" i="20"/>
  <c r="G86" i="20"/>
  <c r="F86" i="20"/>
  <c r="E86" i="20"/>
  <c r="D86" i="20"/>
  <c r="C86" i="20"/>
  <c r="B86" i="20"/>
  <c r="A86" i="20"/>
  <c r="G85" i="20"/>
  <c r="F85" i="20"/>
  <c r="E85" i="20"/>
  <c r="D85" i="20"/>
  <c r="C85" i="20"/>
  <c r="M84" i="20"/>
  <c r="L84" i="20"/>
  <c r="K84" i="20"/>
  <c r="J84" i="20"/>
  <c r="I84" i="20"/>
  <c r="H84" i="20"/>
  <c r="G84" i="20"/>
  <c r="F84" i="20"/>
  <c r="E84" i="20"/>
  <c r="D84" i="20"/>
  <c r="C84" i="20"/>
  <c r="B85" i="20"/>
  <c r="B84" i="20"/>
  <c r="A85" i="20"/>
  <c r="O95" i="20" l="1"/>
  <c r="O85" i="20"/>
  <c r="O91" i="20"/>
  <c r="O90" i="20"/>
  <c r="O92" i="20"/>
  <c r="O94" i="20"/>
  <c r="O93" i="20"/>
  <c r="O89" i="20"/>
  <c r="O88" i="20"/>
  <c r="O87" i="20"/>
  <c r="O86" i="20"/>
</calcChain>
</file>

<file path=xl/sharedStrings.xml><?xml version="1.0" encoding="utf-8"?>
<sst xmlns="http://schemas.openxmlformats.org/spreadsheetml/2006/main" count="415" uniqueCount="144">
  <si>
    <t>Date</t>
  </si>
  <si>
    <t>Project</t>
  </si>
  <si>
    <t>Content</t>
  </si>
  <si>
    <t>Status</t>
  </si>
  <si>
    <t>Weight</t>
  </si>
  <si>
    <t>Owner</t>
  </si>
  <si>
    <t>Comment</t>
  </si>
  <si>
    <t>done this week</t>
  </si>
  <si>
    <t>weili</t>
  </si>
  <si>
    <t>done</t>
  </si>
  <si>
    <t>hongyi</t>
  </si>
  <si>
    <t xml:space="preserve"> </t>
  </si>
  <si>
    <t>liangmin</t>
  </si>
  <si>
    <t xml:space="preserve">  </t>
  </si>
  <si>
    <t>shaobin</t>
  </si>
  <si>
    <t>wufang</t>
  </si>
  <si>
    <t>zhilong</t>
  </si>
  <si>
    <t>chenchen</t>
  </si>
  <si>
    <t>LightNVM</t>
  </si>
  <si>
    <t>none</t>
  </si>
  <si>
    <t>new target</t>
  </si>
  <si>
    <t>yingjun</t>
  </si>
  <si>
    <t>wait for FW</t>
  </si>
  <si>
    <t>delay</t>
  </si>
  <si>
    <t>weifeng</t>
  </si>
  <si>
    <t>alice</t>
  </si>
  <si>
    <t>Regression</t>
  </si>
  <si>
    <t>Kedacom support</t>
  </si>
  <si>
    <t>weifeng/yingjun</t>
  </si>
  <si>
    <t>Tahoe</t>
  </si>
  <si>
    <t>nonstandard driver</t>
  </si>
  <si>
    <t>CIV</t>
  </si>
  <si>
    <t>done this month</t>
  </si>
  <si>
    <t>Common</t>
  </si>
  <si>
    <t>validation plan</t>
  </si>
  <si>
    <t>zhaohe</t>
  </si>
  <si>
    <t>Alpha</t>
  </si>
  <si>
    <t>RC version regression test</t>
  </si>
  <si>
    <t>temp version Validation</t>
  </si>
  <si>
    <t>Kiwi</t>
  </si>
  <si>
    <t>Full regression</t>
  </si>
  <si>
    <t>script develop</t>
  </si>
  <si>
    <t>Develop</t>
  </si>
  <si>
    <t>Venus_tool</t>
  </si>
  <si>
    <t>test case develop</t>
  </si>
  <si>
    <t>AD2</t>
  </si>
  <si>
    <t>GC QOS test</t>
  </si>
  <si>
    <t>Official version</t>
  </si>
  <si>
    <t>Word-base test plan</t>
  </si>
  <si>
    <t>2) bandwidth</t>
  </si>
  <si>
    <t xml:space="preserve">1) VU support </t>
  </si>
  <si>
    <t>hongyi/weili/wufang</t>
  </si>
  <si>
    <t>1) V3.0</t>
  </si>
  <si>
    <t>2) V3.0</t>
  </si>
  <si>
    <t>liangmin/Alice/zhaohe/zhilong</t>
  </si>
  <si>
    <t>alice/wufang</t>
  </si>
  <si>
    <t>DDN version test</t>
  </si>
  <si>
    <t>1) V1RC2</t>
  </si>
  <si>
    <t>zhaohe/alice</t>
  </si>
  <si>
    <t>1) register test</t>
  </si>
  <si>
    <t>wait for Drv</t>
  </si>
  <si>
    <t>done in Jan</t>
  </si>
  <si>
    <t>5) load test cases slow</t>
  </si>
  <si>
    <t>6) treetable when add case to runner</t>
  </si>
  <si>
    <t>done in 2019</t>
  </si>
  <si>
    <t>lib for product test</t>
  </si>
  <si>
    <t>2) add case</t>
  </si>
  <si>
    <t>3) User_guide</t>
  </si>
  <si>
    <t>zhaohe/liangmin</t>
  </si>
  <si>
    <t>Doing for this week</t>
  </si>
  <si>
    <t>Year Summary</t>
  </si>
  <si>
    <t>Done for last week</t>
  </si>
  <si>
    <t>Year Trend</t>
  </si>
  <si>
    <t>Done for this year</t>
  </si>
  <si>
    <t>How to confirm weight</t>
  </si>
  <si>
    <t>Score</t>
  </si>
  <si>
    <t>Descript</t>
  </si>
  <si>
    <t xml:space="preserve">test env setup </t>
  </si>
  <si>
    <t>simple issue regression</t>
  </si>
  <si>
    <t>script issue fix</t>
  </si>
  <si>
    <t>review presentation</t>
  </si>
  <si>
    <t>problem confirm</t>
  </si>
  <si>
    <t>RC version regression</t>
  </si>
  <si>
    <t>new test tool setup</t>
  </si>
  <si>
    <t>small function optimize</t>
  </si>
  <si>
    <t>new feature test case list</t>
  </si>
  <si>
    <t>add ioctl</t>
  </si>
  <si>
    <t>document</t>
  </si>
  <si>
    <t>user_guide</t>
  </si>
  <si>
    <t>test cases develop plan</t>
  </si>
  <si>
    <t>full regression</t>
  </si>
  <si>
    <t>big function optimize</t>
  </si>
  <si>
    <t>new feature script develop</t>
  </si>
  <si>
    <t>new tool develop</t>
  </si>
  <si>
    <t>new platform design</t>
  </si>
  <si>
    <t>Yearly Summary</t>
  </si>
  <si>
    <t>doing</t>
  </si>
  <si>
    <t>Attitude</t>
  </si>
  <si>
    <t>Sum</t>
  </si>
  <si>
    <t>2) V3.0RC1</t>
  </si>
  <si>
    <t>2) V2RC6</t>
  </si>
  <si>
    <t>3) V16RC4</t>
  </si>
  <si>
    <t>4) V1RC9</t>
  </si>
  <si>
    <t>1) remote access to UART - client</t>
  </si>
  <si>
    <t>2) change tab stuck when lots of print</t>
  </si>
  <si>
    <t>3) presentation</t>
  </si>
  <si>
    <t>Basic Mix performance</t>
  </si>
  <si>
    <t>2) storscore</t>
  </si>
  <si>
    <t>3) Adapt CIV on alpha</t>
  </si>
  <si>
    <t>4) V16RC5</t>
  </si>
  <si>
    <t>2) V1RC4</t>
  </si>
  <si>
    <t>zhaohe/alice/wufang</t>
  </si>
  <si>
    <t>3) V3.0RC2</t>
  </si>
  <si>
    <t>hongyi/weili</t>
  </si>
  <si>
    <t>Email Summary</t>
  </si>
  <si>
    <t>4) V4.0</t>
  </si>
  <si>
    <t>4) PEP8</t>
  </si>
  <si>
    <t>5) apply in AD2 test</t>
  </si>
  <si>
    <t>6) result collect</t>
  </si>
  <si>
    <t>7) merge performance test</t>
  </si>
  <si>
    <t>Init test cases optimize</t>
  </si>
  <si>
    <t>hongyi/liangmin</t>
  </si>
  <si>
    <t>3) Queue test</t>
  </si>
  <si>
    <t>2) PRP different page size</t>
  </si>
  <si>
    <t>4) coherence test</t>
  </si>
  <si>
    <t>chenchen/liangmin</t>
  </si>
  <si>
    <t>2) V3RC1</t>
  </si>
  <si>
    <t>Personal version regression</t>
  </si>
  <si>
    <t>1) GC_improve</t>
  </si>
  <si>
    <t>2) error inject</t>
  </si>
  <si>
    <t>liangmin/zhilong/alice</t>
  </si>
  <si>
    <t>zhaohe/zhilong</t>
  </si>
  <si>
    <t>Async compare in coherence mode</t>
  </si>
  <si>
    <t>add sequential write and sequential read(windows FIO)</t>
  </si>
  <si>
    <t>3) Queue test - 128</t>
  </si>
  <si>
    <t>done this Jan</t>
  </si>
  <si>
    <t>SDE script support</t>
  </si>
  <si>
    <t>1) PPA</t>
  </si>
  <si>
    <t>2) LBA</t>
  </si>
  <si>
    <t>LDPC testcases add</t>
  </si>
  <si>
    <t>LDPC case review</t>
  </si>
  <si>
    <t>hongyi/wufang</t>
  </si>
  <si>
    <t>powercycle testcase optimize</t>
  </si>
  <si>
    <t>venus_tool xmodem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</si>
</sst>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rgb="FFFFFFFF"/>
      <name val="Calibri"/>
    </font>
    <font>
      <sz val="11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left"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4" fillId="3" borderId="2" xfId="0" applyNumberFormat="1" applyFont="1" applyFill="1" applyBorder="1" applyAlignment="1">
      <alignment horizontal="left" vertical="center" wrapText="1" readingOrder="1"/>
    </xf>
    <xf numFmtId="0" fontId="5" fillId="0" borderId="2" xfId="0" applyFont="1" applyBorder="1" applyAlignment="1">
      <alignment horizontal="left" vertical="center" wrapText="1" readingOrder="1"/>
    </xf>
    <xf numFmtId="0" fontId="5" fillId="0" borderId="0" xfId="0" applyFont="1" applyAlignment="1">
      <alignment horizontal="left" vertical="center" wrapText="1" readingOrder="1"/>
    </xf>
    <xf numFmtId="0" fontId="0" fillId="0" borderId="1" xfId="0" applyFont="1" applyBorder="1">
      <alignment vertical="center"/>
    </xf>
    <xf numFmtId="0" fontId="0" fillId="0" borderId="1" xfId="0" applyFont="1" applyBorder="1" applyAlignment="1">
      <alignment horizontal="left" vertical="center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  <xf numFmtId="0" fontId="0" fillId="5" borderId="0" xfId="0" applyFill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Doing this week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WSummary!$A$2:$A$12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cat>
          <c:val>
            <c:numRef>
              <c:f>WSummary!$B$2:$B$12</c:f>
              <c:numCache>
                <c:formatCode>General</c:formatCode>
                <c:ptCount val="11"/>
                <c:pt idx="0">
                  <c:v>6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B-4882-BBF2-6C6342AF6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540952"/>
        <c:axId val="606536360"/>
      </c:barChart>
      <c:catAx>
        <c:axId val="6065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36360"/>
        <c:crosses val="autoZero"/>
        <c:auto val="1"/>
        <c:lblAlgn val="ctr"/>
        <c:lblOffset val="100"/>
        <c:noMultiLvlLbl val="0"/>
      </c:catAx>
      <c:valAx>
        <c:axId val="6065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Done last week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Task Summary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WSummary!$A$21:$A$31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cat>
          <c:val>
            <c:numRef>
              <c:f>WSummary!$B$21:$B$31</c:f>
              <c:numCache>
                <c:formatCode>General</c:formatCode>
                <c:ptCount val="11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A44-B915-42C7CB1C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540952"/>
        <c:axId val="606536360"/>
      </c:barChart>
      <c:catAx>
        <c:axId val="6065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36360"/>
        <c:crosses val="autoZero"/>
        <c:auto val="1"/>
        <c:lblAlgn val="ctr"/>
        <c:lblOffset val="100"/>
        <c:noMultiLvlLbl val="0"/>
      </c:catAx>
      <c:valAx>
        <c:axId val="6065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Done this year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WSummary!$A$41:$A$51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WSummary!$A$2:$A$12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cat>
          <c:val>
            <c:numRef>
              <c:f>WSummary!$B$41:$B$51</c:f>
              <c:numCache>
                <c:formatCode>General</c:formatCode>
                <c:ptCount val="11"/>
                <c:pt idx="0">
                  <c:v>1.75</c:v>
                </c:pt>
                <c:pt idx="1">
                  <c:v>1</c:v>
                </c:pt>
                <c:pt idx="2">
                  <c:v>0.75</c:v>
                </c:pt>
                <c:pt idx="3">
                  <c:v>1.75</c:v>
                </c:pt>
                <c:pt idx="4">
                  <c:v>2.75</c:v>
                </c:pt>
                <c:pt idx="5">
                  <c:v>1.75</c:v>
                </c:pt>
                <c:pt idx="6">
                  <c:v>0.75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C-4B4C-B39F-3C917BDFC0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06540952"/>
        <c:axId val="606536360"/>
      </c:barChart>
      <c:catAx>
        <c:axId val="6065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36360"/>
        <c:crosses val="autoZero"/>
        <c:auto val="1"/>
        <c:lblAlgn val="ctr"/>
        <c:lblOffset val="100"/>
        <c:noMultiLvlLbl val="0"/>
      </c:catAx>
      <c:valAx>
        <c:axId val="6065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</a:t>
            </a:r>
            <a:r>
              <a:rPr lang="en-US" baseline="0"/>
              <a:t> Trend for doing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WSummary!$A$60:$B$60</c:f>
              <c:strCache>
                <c:ptCount val="2"/>
                <c:pt idx="0">
                  <c:v>liangmin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WSummary!$C$59:$Y$59</c:f>
              <c:numCache>
                <c:formatCode>m/d/yyyy</c:formatCode>
                <c:ptCount val="23"/>
              </c:numCache>
            </c:numRef>
          </c:cat>
          <c:val>
            <c:numRef>
              <c:f>WSummary!$C$60:$Y$60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A-4909-8D41-9687EB340984}"/>
            </c:ext>
          </c:extLst>
        </c:ser>
        <c:ser>
          <c:idx val="1"/>
          <c:order val="1"/>
          <c:tx>
            <c:strRef>
              <c:f>WSummary!$A$62:$B$62</c:f>
              <c:strCache>
                <c:ptCount val="2"/>
                <c:pt idx="0">
                  <c:v>hongyi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WSummary!$C$59:$Y$59</c:f>
              <c:numCache>
                <c:formatCode>m/d/yyyy</c:formatCode>
                <c:ptCount val="23"/>
              </c:numCache>
            </c:numRef>
          </c:cat>
          <c:val>
            <c:numRef>
              <c:f>WSummary!$C$62:$Y$62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2A-4909-8D41-9687EB340984}"/>
            </c:ext>
          </c:extLst>
        </c:ser>
        <c:ser>
          <c:idx val="2"/>
          <c:order val="2"/>
          <c:tx>
            <c:strRef>
              <c:f>WSummary!$A$64:$B$64</c:f>
              <c:strCache>
                <c:ptCount val="2"/>
                <c:pt idx="0">
                  <c:v>yingjun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WSummary!$C$64:$Y$64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2A-4909-8D41-9687EB340984}"/>
            </c:ext>
          </c:extLst>
        </c:ser>
        <c:ser>
          <c:idx val="3"/>
          <c:order val="3"/>
          <c:tx>
            <c:strRef>
              <c:f>WSummary!$A$66:$B$66</c:f>
              <c:strCache>
                <c:ptCount val="2"/>
                <c:pt idx="0">
                  <c:v>alice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WSummary!$C$66:$Y$66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2A-4909-8D41-9687EB340984}"/>
            </c:ext>
          </c:extLst>
        </c:ser>
        <c:ser>
          <c:idx val="4"/>
          <c:order val="4"/>
          <c:tx>
            <c:strRef>
              <c:f>WSummary!$A$68:$B$68</c:f>
              <c:strCache>
                <c:ptCount val="2"/>
                <c:pt idx="0">
                  <c:v>zhilong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WSummary!$C$68:$Y$68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2A-4909-8D41-9687EB340984}"/>
            </c:ext>
          </c:extLst>
        </c:ser>
        <c:ser>
          <c:idx val="5"/>
          <c:order val="5"/>
          <c:tx>
            <c:strRef>
              <c:f>WSummary!$A$70:$B$70</c:f>
              <c:strCache>
                <c:ptCount val="2"/>
                <c:pt idx="0">
                  <c:v>zhaohe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WSummary!$C$70:$Y$70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2A-4909-8D41-9687EB340984}"/>
            </c:ext>
          </c:extLst>
        </c:ser>
        <c:ser>
          <c:idx val="6"/>
          <c:order val="6"/>
          <c:tx>
            <c:strRef>
              <c:f>WSummary!$A$72:$B$72</c:f>
              <c:strCache>
                <c:ptCount val="2"/>
                <c:pt idx="0">
                  <c:v>weifeng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WSummary!$C$72:$Y$72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02A-4909-8D41-9687EB340984}"/>
            </c:ext>
          </c:extLst>
        </c:ser>
        <c:ser>
          <c:idx val="7"/>
          <c:order val="7"/>
          <c:tx>
            <c:strRef>
              <c:f>WSummary!$A$74:$B$74</c:f>
              <c:strCache>
                <c:ptCount val="2"/>
                <c:pt idx="0">
                  <c:v>chenchen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WSummary!$C$74:$Y$74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02A-4909-8D41-9687EB340984}"/>
            </c:ext>
          </c:extLst>
        </c:ser>
        <c:ser>
          <c:idx val="8"/>
          <c:order val="8"/>
          <c:tx>
            <c:strRef>
              <c:f>WSummary!$A$76:$B$76</c:f>
              <c:strCache>
                <c:ptCount val="2"/>
                <c:pt idx="0">
                  <c:v>shaobin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WSummary!$C$76:$Y$76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02A-4909-8D41-9687EB340984}"/>
            </c:ext>
          </c:extLst>
        </c:ser>
        <c:ser>
          <c:idx val="9"/>
          <c:order val="9"/>
          <c:tx>
            <c:strRef>
              <c:f>WSummary!$A$78:$B$78</c:f>
              <c:strCache>
                <c:ptCount val="2"/>
                <c:pt idx="0">
                  <c:v>weili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WSummary!$C$78:$Y$78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02A-4909-8D41-9687EB340984}"/>
            </c:ext>
          </c:extLst>
        </c:ser>
        <c:ser>
          <c:idx val="10"/>
          <c:order val="10"/>
          <c:tx>
            <c:strRef>
              <c:f>WSummary!$A$80:$B$80</c:f>
              <c:strCache>
                <c:ptCount val="2"/>
                <c:pt idx="0">
                  <c:v>wufang</c:v>
                </c:pt>
                <c:pt idx="1">
                  <c:v>doing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WSummary!$C$80:$Y$80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02A-4909-8D41-9687EB340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32264"/>
        <c:axId val="674032592"/>
      </c:lineChart>
      <c:catAx>
        <c:axId val="674032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2592"/>
        <c:crosses val="autoZero"/>
        <c:auto val="1"/>
        <c:lblAlgn val="ctr"/>
        <c:lblOffset val="100"/>
        <c:noMultiLvlLbl val="1"/>
      </c:catAx>
      <c:valAx>
        <c:axId val="6740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</a:t>
            </a:r>
            <a:r>
              <a:rPr lang="en-US" baseline="0"/>
              <a:t> Trend for done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WSummary!$A$61:$B$61</c:f>
              <c:strCache>
                <c:ptCount val="2"/>
                <c:pt idx="0">
                  <c:v>liangmin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WSummary!$C$59:$Y$59</c:f>
              <c:numCache>
                <c:formatCode>m/d/yyyy</c:formatCode>
                <c:ptCount val="23"/>
              </c:numCache>
            </c:numRef>
          </c:cat>
          <c:val>
            <c:numRef>
              <c:f>WSummary!$C$61:$V$61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86-47FA-956D-F8742992C4A7}"/>
            </c:ext>
          </c:extLst>
        </c:ser>
        <c:ser>
          <c:idx val="1"/>
          <c:order val="1"/>
          <c:tx>
            <c:strRef>
              <c:f>WSummary!$A$63:$B$63</c:f>
              <c:strCache>
                <c:ptCount val="2"/>
                <c:pt idx="0">
                  <c:v>hongyi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WSummary!$C$59:$Y$59</c:f>
              <c:numCache>
                <c:formatCode>m/d/yyyy</c:formatCode>
                <c:ptCount val="23"/>
              </c:numCache>
            </c:numRef>
          </c:cat>
          <c:val>
            <c:numRef>
              <c:f>WSummary!$C$63:$X$63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86-47FA-956D-F8742992C4A7}"/>
            </c:ext>
          </c:extLst>
        </c:ser>
        <c:ser>
          <c:idx val="2"/>
          <c:order val="2"/>
          <c:tx>
            <c:strRef>
              <c:f>WSummary!$A$65:$B$65</c:f>
              <c:strCache>
                <c:ptCount val="2"/>
                <c:pt idx="0">
                  <c:v>yingjun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WSummary!$C$65:$X$65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86-47FA-956D-F8742992C4A7}"/>
            </c:ext>
          </c:extLst>
        </c:ser>
        <c:ser>
          <c:idx val="3"/>
          <c:order val="3"/>
          <c:tx>
            <c:strRef>
              <c:f>WSummary!$A$67:$B$67</c:f>
              <c:strCache>
                <c:ptCount val="2"/>
                <c:pt idx="0">
                  <c:v>alice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WSummary!$C$67:$Y$67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86-47FA-956D-F8742992C4A7}"/>
            </c:ext>
          </c:extLst>
        </c:ser>
        <c:ser>
          <c:idx val="4"/>
          <c:order val="4"/>
          <c:tx>
            <c:strRef>
              <c:f>WSummary!$A$69:$B$69</c:f>
              <c:strCache>
                <c:ptCount val="2"/>
                <c:pt idx="0">
                  <c:v>zhilong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WSummary!$C$69:$Y$69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86-47FA-956D-F8742992C4A7}"/>
            </c:ext>
          </c:extLst>
        </c:ser>
        <c:ser>
          <c:idx val="5"/>
          <c:order val="5"/>
          <c:tx>
            <c:strRef>
              <c:f>WSummary!$A$71:$B$71</c:f>
              <c:strCache>
                <c:ptCount val="2"/>
                <c:pt idx="0">
                  <c:v>zhaohe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WSummary!$C$71:$Y$71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86-47FA-956D-F8742992C4A7}"/>
            </c:ext>
          </c:extLst>
        </c:ser>
        <c:ser>
          <c:idx val="6"/>
          <c:order val="6"/>
          <c:tx>
            <c:strRef>
              <c:f>WSummary!$A$73:$B$73</c:f>
              <c:strCache>
                <c:ptCount val="2"/>
                <c:pt idx="0">
                  <c:v>weifeng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WSummary!$C$73:$Y$73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86-47FA-956D-F8742992C4A7}"/>
            </c:ext>
          </c:extLst>
        </c:ser>
        <c:ser>
          <c:idx val="7"/>
          <c:order val="7"/>
          <c:tx>
            <c:strRef>
              <c:f>WSummary!$A$75:$B$75</c:f>
              <c:strCache>
                <c:ptCount val="2"/>
                <c:pt idx="0">
                  <c:v>chenchen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WSummary!$C$75:$Y$75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86-47FA-956D-F8742992C4A7}"/>
            </c:ext>
          </c:extLst>
        </c:ser>
        <c:ser>
          <c:idx val="8"/>
          <c:order val="8"/>
          <c:tx>
            <c:strRef>
              <c:f>WSummary!$A$77:$B$77</c:f>
              <c:strCache>
                <c:ptCount val="2"/>
                <c:pt idx="0">
                  <c:v>shaobin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WSummary!$C$77:$Y$77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86-47FA-956D-F8742992C4A7}"/>
            </c:ext>
          </c:extLst>
        </c:ser>
        <c:ser>
          <c:idx val="9"/>
          <c:order val="9"/>
          <c:tx>
            <c:strRef>
              <c:f>WSummary!$A$79:$B$79</c:f>
              <c:strCache>
                <c:ptCount val="2"/>
                <c:pt idx="0">
                  <c:v>weili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WSummary!$C$79:$Y$79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86-47FA-956D-F8742992C4A7}"/>
            </c:ext>
          </c:extLst>
        </c:ser>
        <c:ser>
          <c:idx val="10"/>
          <c:order val="10"/>
          <c:tx>
            <c:strRef>
              <c:f>WSummary!$A$81:$B$81</c:f>
              <c:strCache>
                <c:ptCount val="2"/>
                <c:pt idx="0">
                  <c:v>wufang</c:v>
                </c:pt>
                <c:pt idx="1">
                  <c:v>done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WSummary!$C$81:$Y$81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286-47FA-956D-F8742992C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32264"/>
        <c:axId val="674032592"/>
      </c:lineChart>
      <c:catAx>
        <c:axId val="674032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2592"/>
        <c:crosses val="autoZero"/>
        <c:auto val="1"/>
        <c:lblAlgn val="ctr"/>
        <c:lblOffset val="100"/>
        <c:noMultiLvlLbl val="1"/>
      </c:catAx>
      <c:valAx>
        <c:axId val="6740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3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Attitude This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WSummary!$A$85:$A$95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WSummary!$A$2:$A$12</c:f>
              <c:strCache>
                <c:ptCount val="11"/>
                <c:pt idx="0">
                  <c:v>liangmin</c:v>
                </c:pt>
                <c:pt idx="1">
                  <c:v>hongyi</c:v>
                </c:pt>
                <c:pt idx="2">
                  <c:v>yingjun</c:v>
                </c:pt>
                <c:pt idx="3">
                  <c:v>alice</c:v>
                </c:pt>
                <c:pt idx="4">
                  <c:v>zhilong</c:v>
                </c:pt>
                <c:pt idx="5">
                  <c:v>zhaohe</c:v>
                </c:pt>
                <c:pt idx="6">
                  <c:v>weifeng</c:v>
                </c:pt>
                <c:pt idx="7">
                  <c:v>chenchen</c:v>
                </c:pt>
                <c:pt idx="8">
                  <c:v>shaobin</c:v>
                </c:pt>
                <c:pt idx="9">
                  <c:v>weili</c:v>
                </c:pt>
                <c:pt idx="10">
                  <c:v>wufang</c:v>
                </c:pt>
              </c:strCache>
            </c:strRef>
          </c:cat>
          <c:val>
            <c:numRef>
              <c:f>WSummary!$O$85:$O$95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1-4627-9112-D33E7615B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06540952"/>
        <c:axId val="606536360"/>
      </c:barChart>
      <c:catAx>
        <c:axId val="606540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36360"/>
        <c:crosses val="autoZero"/>
        <c:auto val="1"/>
        <c:lblAlgn val="ctr"/>
        <c:lblOffset val="100"/>
        <c:noMultiLvlLbl val="0"/>
      </c:catAx>
      <c:valAx>
        <c:axId val="60653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418195</xdr:colOff>
      <xdr:row>15</xdr:row>
      <xdr:rowOff>90106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7121F5-7DFB-4487-94BF-2C252D9C5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21</xdr:col>
      <xdr:colOff>418195</xdr:colOff>
      <xdr:row>15</xdr:row>
      <xdr:rowOff>90107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3DA8BB-9F0E-48F2-A707-E2C910C33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10</xdr:col>
      <xdr:colOff>418195</xdr:colOff>
      <xdr:row>34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73B2AB-AB4C-47D5-A658-90492FF0E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12</xdr:col>
      <xdr:colOff>83820</xdr:colOff>
      <xdr:row>58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4460B7-9040-47B9-82D1-C67675092A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228600</xdr:colOff>
      <xdr:row>37</xdr:row>
      <xdr:rowOff>0</xdr:rowOff>
    </xdr:from>
    <xdr:to>
      <xdr:col>24</xdr:col>
      <xdr:colOff>403860</xdr:colOff>
      <xdr:row>58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0C20B8-1F38-4C49-856D-D0638CE0C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22</xdr:col>
      <xdr:colOff>176148</xdr:colOff>
      <xdr:row>34</xdr:row>
      <xdr:rowOff>7620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822C5CC-CFE1-40C9-937A-A4C98802E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G102"/>
  <sheetViews>
    <sheetView tabSelected="1" zoomScale="130" zoomScaleNormal="130" workbookViewId="0">
      <pane ySplit="1" topLeftCell="A41" activePane="bottomLeft" state="frozen"/>
      <selection pane="bottomLeft" activeCell="C17" sqref="C17"/>
    </sheetView>
  </sheetViews>
  <sheetFormatPr defaultColWidth="9.28515625" defaultRowHeight="15"/>
  <cols>
    <col min="1" max="1" width="27.42578125" style="4" customWidth="1"/>
    <col min="2" max="2" width="25.42578125" style="3" customWidth="1"/>
    <col min="3" max="3" width="50.7109375" style="3" customWidth="1"/>
    <col min="4" max="4" width="20.42578125" style="3" bestFit="1" customWidth="1"/>
    <col min="5" max="5" width="6.7109375" style="3" bestFit="1" customWidth="1"/>
    <col min="6" max="6" width="24.7109375" style="3" customWidth="1"/>
    <col min="7" max="7" width="46.28515625" style="3" customWidth="1"/>
    <col min="8" max="16384" width="9.28515625" style="3"/>
  </cols>
  <sheetData>
    <row r="1" spans="1:7" s="2" customForma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A2" s="7">
        <v>43473</v>
      </c>
      <c r="B2" s="8" t="s">
        <v>33</v>
      </c>
      <c r="C2" s="5" t="s">
        <v>27</v>
      </c>
      <c r="D2" s="5" t="s">
        <v>9</v>
      </c>
      <c r="E2" s="3">
        <v>0.5</v>
      </c>
      <c r="F2" s="5" t="s">
        <v>15</v>
      </c>
    </row>
    <row r="3" spans="1:7">
      <c r="C3" s="10" t="s">
        <v>106</v>
      </c>
    </row>
    <row r="4" spans="1:7">
      <c r="C4" s="10" t="s">
        <v>107</v>
      </c>
      <c r="D4" s="5" t="s">
        <v>9</v>
      </c>
      <c r="E4" s="3">
        <v>2</v>
      </c>
      <c r="F4" s="10" t="s">
        <v>16</v>
      </c>
    </row>
    <row r="5" spans="1:7">
      <c r="B5" s="3" t="s">
        <v>18</v>
      </c>
      <c r="C5" s="5" t="s">
        <v>26</v>
      </c>
      <c r="D5" s="5"/>
      <c r="F5" s="5"/>
    </row>
    <row r="6" spans="1:7">
      <c r="C6" s="5" t="s">
        <v>100</v>
      </c>
      <c r="D6" s="10" t="s">
        <v>9</v>
      </c>
      <c r="E6" s="3">
        <v>1.5</v>
      </c>
      <c r="F6" s="5" t="s">
        <v>28</v>
      </c>
    </row>
    <row r="7" spans="1:7">
      <c r="C7" s="5" t="s">
        <v>44</v>
      </c>
      <c r="F7" s="5"/>
    </row>
    <row r="8" spans="1:7">
      <c r="C8" s="5" t="s">
        <v>53</v>
      </c>
      <c r="D8" s="3" t="s">
        <v>7</v>
      </c>
      <c r="F8" s="5" t="s">
        <v>28</v>
      </c>
    </row>
    <row r="9" spans="1:7">
      <c r="B9" s="10" t="s">
        <v>45</v>
      </c>
      <c r="C9" s="5" t="s">
        <v>40</v>
      </c>
      <c r="D9" s="10"/>
      <c r="F9" s="5"/>
    </row>
    <row r="10" spans="1:7">
      <c r="C10" s="5" t="s">
        <v>101</v>
      </c>
      <c r="D10" s="10" t="s">
        <v>9</v>
      </c>
      <c r="E10" s="3">
        <v>3</v>
      </c>
      <c r="F10" s="5" t="s">
        <v>54</v>
      </c>
    </row>
    <row r="11" spans="1:7">
      <c r="C11" s="5" t="s">
        <v>109</v>
      </c>
      <c r="D11" s="3" t="s">
        <v>7</v>
      </c>
      <c r="F11" s="5" t="s">
        <v>54</v>
      </c>
    </row>
    <row r="12" spans="1:7">
      <c r="C12" s="10" t="s">
        <v>46</v>
      </c>
      <c r="D12" s="3" t="s">
        <v>7</v>
      </c>
      <c r="F12" s="5" t="s">
        <v>16</v>
      </c>
    </row>
    <row r="13" spans="1:7">
      <c r="B13" s="5" t="s">
        <v>36</v>
      </c>
      <c r="C13" s="5" t="s">
        <v>41</v>
      </c>
      <c r="D13" s="10"/>
      <c r="F13" s="5"/>
      <c r="G13" s="10"/>
    </row>
    <row r="14" spans="1:7">
      <c r="B14" s="5"/>
      <c r="C14" s="5" t="s">
        <v>50</v>
      </c>
      <c r="D14" s="10" t="s">
        <v>22</v>
      </c>
      <c r="F14" s="5" t="s">
        <v>15</v>
      </c>
      <c r="G14" s="10"/>
    </row>
    <row r="15" spans="1:7">
      <c r="B15" s="5"/>
      <c r="C15" s="3" t="s">
        <v>37</v>
      </c>
      <c r="F15" s="5"/>
      <c r="G15" s="10"/>
    </row>
    <row r="16" spans="1:7">
      <c r="A16" s="11" t="s">
        <v>11</v>
      </c>
      <c r="B16" s="5"/>
      <c r="C16" s="10" t="s">
        <v>102</v>
      </c>
      <c r="D16" s="10" t="s">
        <v>7</v>
      </c>
      <c r="F16" s="5" t="s">
        <v>55</v>
      </c>
      <c r="G16" s="10"/>
    </row>
    <row r="17" spans="1:7">
      <c r="B17" s="5"/>
      <c r="C17" s="10" t="s">
        <v>56</v>
      </c>
      <c r="D17" s="10"/>
      <c r="F17" s="5"/>
      <c r="G17" s="10"/>
    </row>
    <row r="18" spans="1:7">
      <c r="B18" s="5" t="s">
        <v>11</v>
      </c>
      <c r="C18" s="10" t="s">
        <v>57</v>
      </c>
      <c r="D18" s="10" t="s">
        <v>9</v>
      </c>
      <c r="E18" s="3">
        <v>2</v>
      </c>
      <c r="F18" s="5" t="s">
        <v>58</v>
      </c>
      <c r="G18" s="10"/>
    </row>
    <row r="19" spans="1:7">
      <c r="B19" s="5"/>
      <c r="C19" s="10" t="s">
        <v>110</v>
      </c>
      <c r="D19" s="10" t="s">
        <v>7</v>
      </c>
      <c r="F19" s="5" t="s">
        <v>111</v>
      </c>
      <c r="G19" s="10" t="s">
        <v>11</v>
      </c>
    </row>
    <row r="20" spans="1:7">
      <c r="B20" s="5" t="s">
        <v>29</v>
      </c>
      <c r="C20" s="5" t="s">
        <v>38</v>
      </c>
      <c r="D20" s="5"/>
      <c r="F20" s="5"/>
      <c r="G20" s="10" t="s">
        <v>13</v>
      </c>
    </row>
    <row r="21" spans="1:7">
      <c r="B21" s="5" t="s">
        <v>11</v>
      </c>
      <c r="C21" s="5" t="s">
        <v>59</v>
      </c>
      <c r="D21" s="3" t="s">
        <v>23</v>
      </c>
      <c r="F21" s="5" t="s">
        <v>12</v>
      </c>
    </row>
    <row r="22" spans="1:7">
      <c r="B22" s="5"/>
      <c r="C22" s="5" t="s">
        <v>123</v>
      </c>
      <c r="D22" s="10" t="s">
        <v>60</v>
      </c>
      <c r="F22" s="5" t="s">
        <v>10</v>
      </c>
    </row>
    <row r="23" spans="1:7">
      <c r="B23" s="5" t="s">
        <v>11</v>
      </c>
      <c r="C23" s="5" t="s">
        <v>122</v>
      </c>
      <c r="D23" s="10" t="s">
        <v>7</v>
      </c>
      <c r="F23" s="5" t="s">
        <v>121</v>
      </c>
    </row>
    <row r="24" spans="1:7">
      <c r="B24" s="5" t="s">
        <v>11</v>
      </c>
      <c r="C24" s="5" t="s">
        <v>124</v>
      </c>
      <c r="D24" s="10" t="s">
        <v>7</v>
      </c>
      <c r="F24" s="5" t="s">
        <v>125</v>
      </c>
    </row>
    <row r="25" spans="1:7">
      <c r="B25" s="5"/>
      <c r="C25" s="5" t="s">
        <v>47</v>
      </c>
      <c r="D25" s="10"/>
      <c r="F25" s="5"/>
    </row>
    <row r="26" spans="1:7">
      <c r="B26" s="5"/>
      <c r="C26" s="5" t="s">
        <v>99</v>
      </c>
      <c r="D26" s="10" t="s">
        <v>9</v>
      </c>
      <c r="E26" s="3">
        <v>2</v>
      </c>
      <c r="F26" s="5" t="s">
        <v>113</v>
      </c>
    </row>
    <row r="27" spans="1:7">
      <c r="A27" s="11" t="s">
        <v>11</v>
      </c>
      <c r="B27" s="5"/>
      <c r="C27" s="5" t="s">
        <v>112</v>
      </c>
      <c r="D27" s="10" t="s">
        <v>7</v>
      </c>
      <c r="F27" s="5" t="s">
        <v>51</v>
      </c>
    </row>
    <row r="28" spans="1:7">
      <c r="B28" s="5"/>
      <c r="C28" s="5" t="s">
        <v>114</v>
      </c>
      <c r="D28" s="10" t="s">
        <v>7</v>
      </c>
      <c r="F28" s="5" t="s">
        <v>10</v>
      </c>
    </row>
    <row r="29" spans="1:7">
      <c r="B29" s="5"/>
      <c r="C29" s="5" t="s">
        <v>120</v>
      </c>
      <c r="D29" s="10" t="s">
        <v>9</v>
      </c>
      <c r="E29" s="3">
        <v>1</v>
      </c>
      <c r="F29" s="5" t="s">
        <v>8</v>
      </c>
    </row>
    <row r="30" spans="1:7">
      <c r="B30" s="5"/>
      <c r="C30" s="5" t="s">
        <v>48</v>
      </c>
    </row>
    <row r="31" spans="1:7">
      <c r="B31" s="5"/>
      <c r="C31" s="5" t="s">
        <v>52</v>
      </c>
      <c r="D31" s="10" t="s">
        <v>9</v>
      </c>
      <c r="E31" s="3">
        <v>1</v>
      </c>
      <c r="F31" s="5" t="s">
        <v>12</v>
      </c>
    </row>
    <row r="32" spans="1:7">
      <c r="B32" s="5"/>
      <c r="C32" s="5" t="s">
        <v>115</v>
      </c>
      <c r="D32" s="10" t="s">
        <v>7</v>
      </c>
      <c r="F32" s="5" t="s">
        <v>12</v>
      </c>
    </row>
    <row r="33" spans="2:7">
      <c r="B33" s="5" t="s">
        <v>42</v>
      </c>
      <c r="C33" s="5" t="s">
        <v>30</v>
      </c>
      <c r="G33" s="10" t="s">
        <v>11</v>
      </c>
    </row>
    <row r="34" spans="2:7">
      <c r="C34" s="5" t="s">
        <v>49</v>
      </c>
      <c r="D34" s="10" t="s">
        <v>32</v>
      </c>
      <c r="F34" s="10" t="s">
        <v>15</v>
      </c>
    </row>
    <row r="35" spans="2:7">
      <c r="C35" s="3" t="s">
        <v>39</v>
      </c>
    </row>
    <row r="36" spans="2:7">
      <c r="C36" s="10" t="s">
        <v>62</v>
      </c>
      <c r="D36" s="10" t="s">
        <v>61</v>
      </c>
      <c r="F36" s="10" t="s">
        <v>8</v>
      </c>
    </row>
    <row r="37" spans="2:7">
      <c r="C37" s="10" t="s">
        <v>63</v>
      </c>
      <c r="D37" s="10" t="s">
        <v>64</v>
      </c>
      <c r="F37" s="10" t="s">
        <v>12</v>
      </c>
    </row>
    <row r="38" spans="2:7">
      <c r="C38" s="10" t="s">
        <v>43</v>
      </c>
    </row>
    <row r="39" spans="2:7">
      <c r="C39" s="10" t="s">
        <v>103</v>
      </c>
      <c r="D39" s="10" t="s">
        <v>61</v>
      </c>
      <c r="F39" s="10" t="s">
        <v>35</v>
      </c>
    </row>
    <row r="40" spans="2:7">
      <c r="C40" s="10" t="s">
        <v>104</v>
      </c>
      <c r="D40" s="10" t="s">
        <v>61</v>
      </c>
      <c r="F40" s="10" t="s">
        <v>16</v>
      </c>
    </row>
    <row r="41" spans="2:7">
      <c r="C41" s="10" t="s">
        <v>105</v>
      </c>
      <c r="D41" s="3" t="s">
        <v>7</v>
      </c>
      <c r="F41" s="10" t="s">
        <v>10</v>
      </c>
    </row>
    <row r="42" spans="2:7">
      <c r="C42" s="5" t="s">
        <v>31</v>
      </c>
      <c r="D42" s="5"/>
      <c r="F42" s="5"/>
    </row>
    <row r="43" spans="2:7">
      <c r="B43" s="9"/>
      <c r="C43" s="5" t="s">
        <v>108</v>
      </c>
      <c r="D43" s="10" t="s">
        <v>9</v>
      </c>
      <c r="E43" s="3">
        <v>1</v>
      </c>
      <c r="F43" s="5" t="s">
        <v>14</v>
      </c>
    </row>
    <row r="44" spans="2:7">
      <c r="C44" s="10" t="s">
        <v>65</v>
      </c>
    </row>
    <row r="45" spans="2:7">
      <c r="C45" s="10" t="s">
        <v>66</v>
      </c>
      <c r="D45" s="5" t="s">
        <v>9</v>
      </c>
      <c r="E45" s="3">
        <v>2</v>
      </c>
      <c r="F45" s="10" t="s">
        <v>14</v>
      </c>
    </row>
    <row r="46" spans="2:7">
      <c r="C46" s="10" t="s">
        <v>67</v>
      </c>
      <c r="D46" s="5" t="s">
        <v>7</v>
      </c>
      <c r="F46" s="10" t="s">
        <v>14</v>
      </c>
    </row>
    <row r="47" spans="2:7">
      <c r="C47" s="10" t="s">
        <v>116</v>
      </c>
      <c r="D47" s="5" t="s">
        <v>9</v>
      </c>
      <c r="E47" s="3">
        <v>1</v>
      </c>
      <c r="F47" s="10" t="s">
        <v>14</v>
      </c>
    </row>
    <row r="48" spans="2:7">
      <c r="C48" s="10" t="s">
        <v>117</v>
      </c>
      <c r="D48" s="5" t="s">
        <v>7</v>
      </c>
      <c r="F48" s="10" t="s">
        <v>68</v>
      </c>
    </row>
    <row r="49" spans="1:7">
      <c r="C49" s="10" t="s">
        <v>118</v>
      </c>
      <c r="D49" s="5" t="s">
        <v>7</v>
      </c>
      <c r="F49" s="10" t="s">
        <v>14</v>
      </c>
    </row>
    <row r="50" spans="1:7">
      <c r="C50" s="10" t="s">
        <v>119</v>
      </c>
      <c r="D50" s="5" t="s">
        <v>7</v>
      </c>
      <c r="F50" s="10" t="s">
        <v>16</v>
      </c>
    </row>
    <row r="51" spans="1:7">
      <c r="B51" s="3" t="s">
        <v>20</v>
      </c>
    </row>
    <row r="53" spans="1:7">
      <c r="A53" s="7">
        <v>43479</v>
      </c>
      <c r="B53" s="8" t="s">
        <v>33</v>
      </c>
      <c r="C53" s="5" t="s">
        <v>27</v>
      </c>
      <c r="D53" s="5" t="s">
        <v>9</v>
      </c>
      <c r="E53" s="3">
        <v>0.5</v>
      </c>
      <c r="F53" s="5" t="s">
        <v>15</v>
      </c>
    </row>
    <row r="54" spans="1:7">
      <c r="B54" s="3" t="s">
        <v>18</v>
      </c>
      <c r="C54" s="5" t="s">
        <v>26</v>
      </c>
      <c r="D54" s="5"/>
      <c r="F54" s="5"/>
    </row>
    <row r="55" spans="1:7">
      <c r="C55" s="5" t="s">
        <v>126</v>
      </c>
      <c r="D55" s="3" t="s">
        <v>7</v>
      </c>
      <c r="F55" s="5" t="s">
        <v>28</v>
      </c>
    </row>
    <row r="56" spans="1:7">
      <c r="C56" s="5" t="s">
        <v>44</v>
      </c>
      <c r="F56" s="5"/>
    </row>
    <row r="57" spans="1:7">
      <c r="C57" s="5" t="s">
        <v>53</v>
      </c>
      <c r="D57" s="10" t="s">
        <v>9</v>
      </c>
      <c r="F57" s="5" t="s">
        <v>28</v>
      </c>
    </row>
    <row r="58" spans="1:7">
      <c r="B58" s="10" t="s">
        <v>45</v>
      </c>
      <c r="C58" s="5" t="s">
        <v>40</v>
      </c>
      <c r="D58" s="10"/>
      <c r="F58" s="5"/>
    </row>
    <row r="59" spans="1:7">
      <c r="C59" s="5" t="s">
        <v>109</v>
      </c>
      <c r="D59" s="3" t="s">
        <v>7</v>
      </c>
      <c r="F59" s="5" t="s">
        <v>54</v>
      </c>
    </row>
    <row r="60" spans="1:7">
      <c r="C60" s="5" t="s">
        <v>127</v>
      </c>
      <c r="F60" s="5"/>
    </row>
    <row r="61" spans="1:7">
      <c r="C61" s="5" t="s">
        <v>128</v>
      </c>
      <c r="D61" s="3" t="s">
        <v>7</v>
      </c>
      <c r="F61" s="5" t="s">
        <v>130</v>
      </c>
    </row>
    <row r="62" spans="1:7">
      <c r="C62" s="5" t="s">
        <v>129</v>
      </c>
      <c r="D62" s="3" t="s">
        <v>7</v>
      </c>
      <c r="F62" s="5" t="s">
        <v>131</v>
      </c>
    </row>
    <row r="63" spans="1:7">
      <c r="C63" s="10" t="s">
        <v>46</v>
      </c>
      <c r="D63" s="10" t="s">
        <v>9</v>
      </c>
      <c r="F63" s="5" t="s">
        <v>16</v>
      </c>
    </row>
    <row r="64" spans="1:7">
      <c r="A64" s="11" t="s">
        <v>11</v>
      </c>
      <c r="B64" s="5" t="s">
        <v>36</v>
      </c>
      <c r="C64" s="5" t="s">
        <v>41</v>
      </c>
      <c r="D64" s="10"/>
      <c r="F64" s="5"/>
      <c r="G64" s="10"/>
    </row>
    <row r="65" spans="2:7">
      <c r="B65" s="5"/>
      <c r="C65" s="5" t="s">
        <v>50</v>
      </c>
      <c r="D65" s="10" t="s">
        <v>22</v>
      </c>
      <c r="F65" s="5" t="s">
        <v>15</v>
      </c>
      <c r="G65" s="10"/>
    </row>
    <row r="66" spans="2:7">
      <c r="B66" s="5"/>
      <c r="C66" s="3" t="s">
        <v>37</v>
      </c>
      <c r="F66" s="5"/>
      <c r="G66" s="10"/>
    </row>
    <row r="67" spans="2:7">
      <c r="B67" s="5"/>
      <c r="C67" s="10" t="s">
        <v>102</v>
      </c>
      <c r="D67" s="10" t="s">
        <v>9</v>
      </c>
      <c r="F67" s="5" t="s">
        <v>55</v>
      </c>
      <c r="G67" s="10"/>
    </row>
    <row r="68" spans="2:7">
      <c r="B68" s="5"/>
      <c r="C68" s="10" t="s">
        <v>56</v>
      </c>
      <c r="D68" s="10"/>
      <c r="F68" s="5"/>
      <c r="G68" s="10"/>
    </row>
    <row r="69" spans="2:7">
      <c r="B69" s="5"/>
      <c r="C69" s="10" t="s">
        <v>110</v>
      </c>
      <c r="D69" s="10" t="s">
        <v>9</v>
      </c>
      <c r="F69" s="5" t="s">
        <v>111</v>
      </c>
      <c r="G69" s="10"/>
    </row>
    <row r="70" spans="2:7">
      <c r="B70" s="5" t="s">
        <v>29</v>
      </c>
      <c r="C70" s="5" t="s">
        <v>38</v>
      </c>
      <c r="D70" s="5"/>
      <c r="F70" s="5"/>
      <c r="G70" s="10" t="s">
        <v>13</v>
      </c>
    </row>
    <row r="71" spans="2:7">
      <c r="B71" s="5" t="s">
        <v>11</v>
      </c>
      <c r="C71" s="5" t="s">
        <v>59</v>
      </c>
      <c r="D71" s="3" t="s">
        <v>23</v>
      </c>
      <c r="F71" s="5" t="s">
        <v>12</v>
      </c>
    </row>
    <row r="72" spans="2:7">
      <c r="B72" s="5"/>
      <c r="C72" s="5" t="s">
        <v>123</v>
      </c>
      <c r="D72" s="10" t="s">
        <v>60</v>
      </c>
      <c r="F72" s="5" t="s">
        <v>10</v>
      </c>
    </row>
    <row r="73" spans="2:7">
      <c r="B73" s="5"/>
      <c r="C73" s="5" t="s">
        <v>134</v>
      </c>
      <c r="D73" s="10" t="s">
        <v>9</v>
      </c>
      <c r="F73" s="5" t="s">
        <v>121</v>
      </c>
    </row>
    <row r="74" spans="2:7">
      <c r="B74" s="5"/>
      <c r="C74" s="5" t="s">
        <v>124</v>
      </c>
      <c r="D74" s="10" t="s">
        <v>7</v>
      </c>
      <c r="F74" s="5" t="s">
        <v>125</v>
      </c>
    </row>
    <row r="75" spans="2:7">
      <c r="B75" s="5"/>
      <c r="C75" s="5" t="s">
        <v>47</v>
      </c>
      <c r="D75" s="10"/>
      <c r="F75" s="5"/>
    </row>
    <row r="76" spans="2:7">
      <c r="B76" s="5"/>
      <c r="C76" s="5" t="s">
        <v>112</v>
      </c>
      <c r="D76" s="10" t="s">
        <v>7</v>
      </c>
      <c r="F76" s="5" t="s">
        <v>51</v>
      </c>
    </row>
    <row r="77" spans="2:7">
      <c r="B77" s="5"/>
      <c r="C77" s="5" t="s">
        <v>114</v>
      </c>
      <c r="D77" s="10" t="s">
        <v>9</v>
      </c>
      <c r="F77" s="5" t="s">
        <v>10</v>
      </c>
    </row>
    <row r="78" spans="2:7">
      <c r="B78" s="5"/>
      <c r="C78" s="5" t="s">
        <v>48</v>
      </c>
    </row>
    <row r="79" spans="2:7">
      <c r="B79" s="5"/>
      <c r="C79" s="5" t="s">
        <v>115</v>
      </c>
      <c r="D79" s="10" t="s">
        <v>7</v>
      </c>
      <c r="F79" s="5" t="s">
        <v>12</v>
      </c>
    </row>
    <row r="80" spans="2:7">
      <c r="B80" s="5" t="s">
        <v>42</v>
      </c>
      <c r="C80" s="5" t="s">
        <v>30</v>
      </c>
      <c r="G80" s="10" t="s">
        <v>11</v>
      </c>
    </row>
    <row r="81" spans="2:6">
      <c r="C81" s="5" t="s">
        <v>49</v>
      </c>
      <c r="D81" s="10" t="s">
        <v>135</v>
      </c>
      <c r="F81" s="10" t="s">
        <v>15</v>
      </c>
    </row>
    <row r="82" spans="2:6">
      <c r="C82" s="3" t="s">
        <v>39</v>
      </c>
    </row>
    <row r="83" spans="2:6">
      <c r="C83" s="10" t="s">
        <v>62</v>
      </c>
      <c r="D83" s="10" t="s">
        <v>61</v>
      </c>
      <c r="F83" s="10" t="s">
        <v>8</v>
      </c>
    </row>
    <row r="84" spans="2:6">
      <c r="C84" s="10" t="s">
        <v>63</v>
      </c>
      <c r="D84" s="10" t="s">
        <v>64</v>
      </c>
      <c r="F84" s="10" t="s">
        <v>12</v>
      </c>
    </row>
    <row r="85" spans="2:6">
      <c r="C85" s="10" t="s">
        <v>43</v>
      </c>
    </row>
    <row r="86" spans="2:6">
      <c r="C86" s="10" t="s">
        <v>103</v>
      </c>
      <c r="D86" s="10" t="s">
        <v>61</v>
      </c>
      <c r="F86" s="10" t="s">
        <v>35</v>
      </c>
    </row>
    <row r="87" spans="2:6">
      <c r="C87" s="10" t="s">
        <v>104</v>
      </c>
      <c r="D87" s="10" t="s">
        <v>19</v>
      </c>
      <c r="F87" s="10" t="s">
        <v>16</v>
      </c>
    </row>
    <row r="88" spans="2:6">
      <c r="C88" s="10" t="s">
        <v>105</v>
      </c>
      <c r="D88" s="10" t="s">
        <v>9</v>
      </c>
      <c r="F88" s="10" t="s">
        <v>10</v>
      </c>
    </row>
    <row r="89" spans="2:6">
      <c r="C89" s="10" t="s">
        <v>65</v>
      </c>
    </row>
    <row r="90" spans="2:6">
      <c r="C90" s="10" t="s">
        <v>67</v>
      </c>
      <c r="D90" s="5" t="s">
        <v>9</v>
      </c>
      <c r="F90" s="10" t="s">
        <v>14</v>
      </c>
    </row>
    <row r="91" spans="2:6">
      <c r="C91" s="10" t="s">
        <v>117</v>
      </c>
      <c r="D91" s="5" t="s">
        <v>7</v>
      </c>
      <c r="F91" s="10" t="s">
        <v>68</v>
      </c>
    </row>
    <row r="92" spans="2:6">
      <c r="C92" s="10" t="s">
        <v>118</v>
      </c>
      <c r="D92" s="5" t="s">
        <v>7</v>
      </c>
      <c r="F92" s="10" t="s">
        <v>14</v>
      </c>
    </row>
    <row r="93" spans="2:6">
      <c r="C93" s="10" t="s">
        <v>119</v>
      </c>
      <c r="D93" s="5" t="s">
        <v>9</v>
      </c>
      <c r="F93" s="10" t="s">
        <v>16</v>
      </c>
    </row>
    <row r="94" spans="2:6">
      <c r="B94" s="3" t="s">
        <v>20</v>
      </c>
      <c r="C94" s="10" t="s">
        <v>132</v>
      </c>
      <c r="D94" s="5" t="s">
        <v>7</v>
      </c>
      <c r="F94" s="10" t="s">
        <v>12</v>
      </c>
    </row>
    <row r="95" spans="2:6">
      <c r="C95" s="10" t="s">
        <v>133</v>
      </c>
      <c r="D95" s="5" t="s">
        <v>7</v>
      </c>
      <c r="F95" s="10" t="s">
        <v>35</v>
      </c>
    </row>
    <row r="96" spans="2:6">
      <c r="C96" s="10" t="s">
        <v>136</v>
      </c>
      <c r="D96" s="5" t="s">
        <v>7</v>
      </c>
      <c r="F96" s="10" t="s">
        <v>24</v>
      </c>
    </row>
    <row r="97" spans="3:6">
      <c r="C97" s="10" t="s">
        <v>139</v>
      </c>
    </row>
    <row r="98" spans="3:6">
      <c r="C98" s="10" t="s">
        <v>137</v>
      </c>
      <c r="D98" s="5" t="s">
        <v>7</v>
      </c>
      <c r="F98" s="10" t="s">
        <v>15</v>
      </c>
    </row>
    <row r="99" spans="3:6">
      <c r="C99" s="10" t="s">
        <v>138</v>
      </c>
      <c r="D99" s="5" t="s">
        <v>7</v>
      </c>
      <c r="F99" s="10" t="s">
        <v>10</v>
      </c>
    </row>
    <row r="100" spans="3:6">
      <c r="C100" s="10" t="s">
        <v>140</v>
      </c>
      <c r="D100" s="5" t="s">
        <v>7</v>
      </c>
      <c r="F100" s="10" t="s">
        <v>141</v>
      </c>
    </row>
    <row r="101" spans="3:6">
      <c r="C101" s="10" t="s">
        <v>142</v>
      </c>
      <c r="D101" s="5" t="s">
        <v>7</v>
      </c>
      <c r="F101" s="10" t="s">
        <v>8</v>
      </c>
    </row>
    <row r="102" spans="3:6">
      <c r="C102" s="10" t="s">
        <v>143</v>
      </c>
      <c r="D102" s="5" t="s">
        <v>7</v>
      </c>
      <c r="F102" s="10" t="s">
        <v>10</v>
      </c>
    </row>
  </sheetData>
  <autoFilter ref="D1" xr:uid="{06B35658-07B1-4529-BEC2-A27D88C0D558}"/>
  <phoneticPr fontId="3" type="noConversion"/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78C96-E7DE-48BF-A392-3CEB0A33AD68}">
  <sheetPr codeName="Sheet7"/>
  <dimension ref="A1:M64"/>
  <sheetViews>
    <sheetView zoomScale="115" zoomScaleNormal="115" workbookViewId="0">
      <selection activeCell="I17" sqref="I17"/>
    </sheetView>
  </sheetViews>
  <sheetFormatPr defaultRowHeight="15"/>
  <cols>
    <col min="3" max="4" width="9.5703125" bestFit="1" customWidth="1"/>
    <col min="5" max="5" width="10.28515625" customWidth="1"/>
    <col min="6" max="6" width="9.5703125" customWidth="1"/>
    <col min="7" max="7" width="10.85546875" customWidth="1"/>
    <col min="8" max="8" width="8.85546875" customWidth="1"/>
  </cols>
  <sheetData>
    <row r="1" spans="1:2" s="12" customFormat="1">
      <c r="A1" s="12" t="s">
        <v>69</v>
      </c>
    </row>
    <row r="2" spans="1:2">
      <c r="A2" t="s">
        <v>12</v>
      </c>
      <c r="B2">
        <v>2</v>
      </c>
    </row>
    <row r="3" spans="1:2">
      <c r="A3" t="s">
        <v>10</v>
      </c>
      <c r="B3">
        <v>2</v>
      </c>
    </row>
    <row r="4" spans="1:2">
      <c r="A4" t="s">
        <v>21</v>
      </c>
      <c r="B4">
        <v>6</v>
      </c>
    </row>
    <row r="5" spans="1:2">
      <c r="A5" t="s">
        <v>25</v>
      </c>
      <c r="B5">
        <v>4</v>
      </c>
    </row>
    <row r="6" spans="1:2">
      <c r="A6" t="s">
        <v>16</v>
      </c>
      <c r="B6">
        <v>2</v>
      </c>
    </row>
    <row r="7" spans="1:2">
      <c r="A7" t="s">
        <v>35</v>
      </c>
      <c r="B7">
        <v>1</v>
      </c>
    </row>
    <row r="8" spans="1:2">
      <c r="A8" t="s">
        <v>24</v>
      </c>
      <c r="B8">
        <v>3</v>
      </c>
    </row>
    <row r="9" spans="1:2">
      <c r="A9" t="s">
        <v>17</v>
      </c>
      <c r="B9">
        <v>3</v>
      </c>
    </row>
    <row r="10" spans="1:2">
      <c r="A10" t="s">
        <v>14</v>
      </c>
      <c r="B10">
        <v>2</v>
      </c>
    </row>
    <row r="11" spans="1:2">
      <c r="A11" t="s">
        <v>8</v>
      </c>
      <c r="B11">
        <v>1</v>
      </c>
    </row>
    <row r="12" spans="1:2">
      <c r="A12" t="s">
        <v>15</v>
      </c>
      <c r="B12">
        <v>4</v>
      </c>
    </row>
    <row r="18" spans="1:2" s="12" customFormat="1">
      <c r="A18" s="12" t="s">
        <v>70</v>
      </c>
    </row>
    <row r="20" spans="1:2">
      <c r="A20" t="s">
        <v>71</v>
      </c>
    </row>
    <row r="21" spans="1:2">
      <c r="A21" t="s">
        <v>12</v>
      </c>
      <c r="B21">
        <v>0</v>
      </c>
    </row>
    <row r="22" spans="1:2">
      <c r="A22" t="s">
        <v>10</v>
      </c>
      <c r="B22">
        <v>0</v>
      </c>
    </row>
    <row r="23" spans="1:2">
      <c r="A23" t="s">
        <v>21</v>
      </c>
      <c r="B23">
        <v>0</v>
      </c>
    </row>
    <row r="24" spans="1:2">
      <c r="A24" t="s">
        <v>25</v>
      </c>
      <c r="B24">
        <v>0</v>
      </c>
    </row>
    <row r="25" spans="1:2">
      <c r="A25" t="s">
        <v>16</v>
      </c>
      <c r="B25">
        <v>0</v>
      </c>
    </row>
    <row r="26" spans="1:2">
      <c r="A26" t="s">
        <v>35</v>
      </c>
      <c r="B26">
        <v>0</v>
      </c>
    </row>
    <row r="27" spans="1:2">
      <c r="A27" t="s">
        <v>24</v>
      </c>
      <c r="B27">
        <v>0</v>
      </c>
    </row>
    <row r="28" spans="1:2">
      <c r="A28" t="s">
        <v>17</v>
      </c>
      <c r="B28">
        <v>0</v>
      </c>
    </row>
    <row r="29" spans="1:2">
      <c r="A29" t="s">
        <v>14</v>
      </c>
      <c r="B29">
        <v>0</v>
      </c>
    </row>
    <row r="30" spans="1:2">
      <c r="A30" t="s">
        <v>8</v>
      </c>
      <c r="B30">
        <v>0</v>
      </c>
    </row>
    <row r="31" spans="1:2">
      <c r="A31" t="s">
        <v>15</v>
      </c>
      <c r="B31">
        <v>0</v>
      </c>
    </row>
    <row r="35" spans="1:4">
      <c r="C35" s="6"/>
      <c r="D35" s="6"/>
    </row>
    <row r="36" spans="1:4">
      <c r="C36" s="6"/>
      <c r="D36" s="6"/>
    </row>
    <row r="37" spans="1:4" s="12" customFormat="1">
      <c r="A37" s="12" t="s">
        <v>72</v>
      </c>
    </row>
    <row r="40" spans="1:4">
      <c r="A40" t="s">
        <v>73</v>
      </c>
    </row>
    <row r="41" spans="1:4">
      <c r="A41" t="s">
        <v>12</v>
      </c>
      <c r="B41">
        <v>54.17</v>
      </c>
    </row>
    <row r="42" spans="1:4">
      <c r="A42" t="s">
        <v>10</v>
      </c>
      <c r="B42">
        <v>54.17</v>
      </c>
    </row>
    <row r="43" spans="1:4">
      <c r="A43" t="s">
        <v>21</v>
      </c>
      <c r="B43">
        <v>69</v>
      </c>
    </row>
    <row r="44" spans="1:4">
      <c r="A44" t="s">
        <v>25</v>
      </c>
      <c r="B44">
        <v>56.83</v>
      </c>
    </row>
    <row r="45" spans="1:4">
      <c r="A45" t="s">
        <v>16</v>
      </c>
      <c r="B45">
        <v>41</v>
      </c>
    </row>
    <row r="46" spans="1:4">
      <c r="A46" t="s">
        <v>35</v>
      </c>
      <c r="B46">
        <v>10</v>
      </c>
    </row>
    <row r="47" spans="1:4">
      <c r="A47" t="s">
        <v>24</v>
      </c>
      <c r="B47">
        <v>38.5</v>
      </c>
    </row>
    <row r="48" spans="1:4">
      <c r="A48" t="s">
        <v>17</v>
      </c>
      <c r="B48">
        <v>37.17</v>
      </c>
    </row>
    <row r="49" spans="1:13">
      <c r="A49" t="s">
        <v>14</v>
      </c>
      <c r="B49">
        <v>59</v>
      </c>
    </row>
    <row r="50" spans="1:13">
      <c r="A50" t="s">
        <v>8</v>
      </c>
      <c r="B50">
        <v>55.17</v>
      </c>
    </row>
    <row r="51" spans="1:13">
      <c r="A51" t="s">
        <v>15</v>
      </c>
      <c r="B51">
        <v>28</v>
      </c>
    </row>
    <row r="59" spans="1:13">
      <c r="C59" s="6"/>
      <c r="D59" s="6"/>
      <c r="E59" s="6"/>
      <c r="F59" s="6"/>
      <c r="G59" s="6"/>
    </row>
    <row r="64" spans="1:13">
      <c r="M64" t="s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CBA5-A558-4836-B4CA-7AF913C542C1}">
  <sheetPr codeName="Sheet4"/>
  <dimension ref="A1:Y95"/>
  <sheetViews>
    <sheetView topLeftCell="A37" zoomScale="85" zoomScaleNormal="85" workbookViewId="0">
      <selection activeCell="D72" sqref="D72"/>
    </sheetView>
  </sheetViews>
  <sheetFormatPr defaultRowHeight="15"/>
  <cols>
    <col min="2" max="2" width="11.140625" customWidth="1"/>
    <col min="3" max="3" width="11.28515625" customWidth="1"/>
    <col min="4" max="4" width="10.85546875" customWidth="1"/>
    <col min="5" max="5" width="10.7109375" customWidth="1"/>
    <col min="6" max="6" width="12.7109375" customWidth="1"/>
    <col min="7" max="8" width="10.5703125" customWidth="1"/>
    <col min="9" max="9" width="12.140625" customWidth="1"/>
    <col min="10" max="10" width="11.42578125" customWidth="1"/>
    <col min="11" max="11" width="12" customWidth="1"/>
  </cols>
  <sheetData>
    <row r="1" spans="1:2" s="12" customFormat="1">
      <c r="A1" s="12" t="s">
        <v>69</v>
      </c>
    </row>
    <row r="2" spans="1:2">
      <c r="A2" t="s">
        <v>12</v>
      </c>
      <c r="B2">
        <v>6</v>
      </c>
    </row>
    <row r="3" spans="1:2">
      <c r="A3" t="s">
        <v>10</v>
      </c>
      <c r="B3">
        <v>4</v>
      </c>
    </row>
    <row r="4" spans="1:2">
      <c r="A4" t="s">
        <v>21</v>
      </c>
      <c r="B4">
        <v>1</v>
      </c>
    </row>
    <row r="5" spans="1:2">
      <c r="A5" t="s">
        <v>25</v>
      </c>
      <c r="B5">
        <v>2</v>
      </c>
    </row>
    <row r="6" spans="1:2">
      <c r="A6" t="s">
        <v>16</v>
      </c>
      <c r="B6">
        <v>3</v>
      </c>
    </row>
    <row r="7" spans="1:2">
      <c r="A7" t="s">
        <v>35</v>
      </c>
      <c r="B7">
        <v>4</v>
      </c>
    </row>
    <row r="8" spans="1:2">
      <c r="A8" t="s">
        <v>24</v>
      </c>
      <c r="B8">
        <v>2</v>
      </c>
    </row>
    <row r="9" spans="1:2">
      <c r="A9" t="s">
        <v>17</v>
      </c>
      <c r="B9">
        <v>1</v>
      </c>
    </row>
    <row r="10" spans="1:2">
      <c r="A10" t="s">
        <v>14</v>
      </c>
      <c r="B10">
        <v>1</v>
      </c>
    </row>
    <row r="11" spans="1:2">
      <c r="A11" t="s">
        <v>8</v>
      </c>
      <c r="B11">
        <v>2</v>
      </c>
    </row>
    <row r="12" spans="1:2">
      <c r="A12" t="s">
        <v>15</v>
      </c>
      <c r="B12">
        <v>3</v>
      </c>
    </row>
    <row r="20" spans="1:2" s="12" customFormat="1">
      <c r="A20" s="12" t="s">
        <v>71</v>
      </c>
    </row>
    <row r="21" spans="1:2">
      <c r="A21" t="s">
        <v>12</v>
      </c>
      <c r="B21">
        <v>1</v>
      </c>
    </row>
    <row r="22" spans="1:2">
      <c r="A22" t="s">
        <v>10</v>
      </c>
      <c r="B22">
        <v>3</v>
      </c>
    </row>
    <row r="23" spans="1:2">
      <c r="A23" t="s">
        <v>21</v>
      </c>
      <c r="B23">
        <v>1</v>
      </c>
    </row>
    <row r="24" spans="1:2">
      <c r="A24" t="s">
        <v>25</v>
      </c>
      <c r="B24">
        <v>2</v>
      </c>
    </row>
    <row r="25" spans="1:2">
      <c r="A25" t="s">
        <v>16</v>
      </c>
      <c r="B25">
        <v>2</v>
      </c>
    </row>
    <row r="26" spans="1:2">
      <c r="A26" t="s">
        <v>35</v>
      </c>
      <c r="B26">
        <v>1</v>
      </c>
    </row>
    <row r="27" spans="1:2">
      <c r="A27" t="s">
        <v>24</v>
      </c>
      <c r="B27">
        <v>1</v>
      </c>
    </row>
    <row r="28" spans="1:2">
      <c r="A28" t="s">
        <v>17</v>
      </c>
      <c r="B28">
        <v>0</v>
      </c>
    </row>
    <row r="29" spans="1:2">
      <c r="A29" t="s">
        <v>14</v>
      </c>
      <c r="B29">
        <v>1</v>
      </c>
    </row>
    <row r="30" spans="1:2">
      <c r="A30" t="s">
        <v>8</v>
      </c>
      <c r="B30">
        <v>0</v>
      </c>
    </row>
    <row r="31" spans="1:2">
      <c r="A31" t="s">
        <v>15</v>
      </c>
      <c r="B31">
        <v>3</v>
      </c>
    </row>
    <row r="40" spans="1:2" s="12" customFormat="1">
      <c r="A40" s="12" t="s">
        <v>73</v>
      </c>
    </row>
    <row r="41" spans="1:2">
      <c r="A41" t="s">
        <v>12</v>
      </c>
      <c r="B41">
        <v>1.75</v>
      </c>
    </row>
    <row r="42" spans="1:2">
      <c r="A42" t="s">
        <v>10</v>
      </c>
      <c r="B42">
        <v>1</v>
      </c>
    </row>
    <row r="43" spans="1:2">
      <c r="A43" t="s">
        <v>21</v>
      </c>
      <c r="B43">
        <v>0.75</v>
      </c>
    </row>
    <row r="44" spans="1:2">
      <c r="A44" t="s">
        <v>25</v>
      </c>
      <c r="B44">
        <v>1.75</v>
      </c>
    </row>
    <row r="45" spans="1:2">
      <c r="A45" t="s">
        <v>16</v>
      </c>
      <c r="B45">
        <v>2.75</v>
      </c>
    </row>
    <row r="46" spans="1:2">
      <c r="A46" t="s">
        <v>35</v>
      </c>
      <c r="B46">
        <v>1.75</v>
      </c>
    </row>
    <row r="47" spans="1:2">
      <c r="A47" t="s">
        <v>24</v>
      </c>
      <c r="B47">
        <v>0.75</v>
      </c>
    </row>
    <row r="48" spans="1:2">
      <c r="A48" t="s">
        <v>17</v>
      </c>
      <c r="B48">
        <v>0</v>
      </c>
    </row>
    <row r="49" spans="1:25">
      <c r="A49" t="s">
        <v>14</v>
      </c>
      <c r="B49">
        <v>4</v>
      </c>
    </row>
    <row r="50" spans="1:25">
      <c r="A50" t="s">
        <v>8</v>
      </c>
      <c r="B50">
        <v>2</v>
      </c>
    </row>
    <row r="51" spans="1:25">
      <c r="A51" t="s">
        <v>15</v>
      </c>
      <c r="B51">
        <v>0.5</v>
      </c>
    </row>
    <row r="58" spans="1:25" s="12" customFormat="1">
      <c r="A58" s="12" t="s">
        <v>95</v>
      </c>
    </row>
    <row r="59" spans="1:2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1:25">
      <c r="A60" t="s">
        <v>12</v>
      </c>
      <c r="B60" t="s">
        <v>96</v>
      </c>
    </row>
    <row r="61" spans="1:25">
      <c r="A61" t="s">
        <v>12</v>
      </c>
      <c r="B61" t="s">
        <v>9</v>
      </c>
    </row>
    <row r="62" spans="1:25">
      <c r="A62" t="s">
        <v>10</v>
      </c>
      <c r="B62" t="s">
        <v>96</v>
      </c>
    </row>
    <row r="63" spans="1:25">
      <c r="A63" t="s">
        <v>10</v>
      </c>
      <c r="B63" t="s">
        <v>9</v>
      </c>
    </row>
    <row r="64" spans="1:25">
      <c r="A64" t="s">
        <v>21</v>
      </c>
      <c r="B64" t="s">
        <v>96</v>
      </c>
    </row>
    <row r="65" spans="1:2">
      <c r="A65" t="s">
        <v>21</v>
      </c>
      <c r="B65" t="s">
        <v>9</v>
      </c>
    </row>
    <row r="66" spans="1:2">
      <c r="A66" t="s">
        <v>25</v>
      </c>
      <c r="B66" t="s">
        <v>96</v>
      </c>
    </row>
    <row r="67" spans="1:2">
      <c r="A67" t="s">
        <v>25</v>
      </c>
      <c r="B67" t="s">
        <v>9</v>
      </c>
    </row>
    <row r="68" spans="1:2">
      <c r="A68" t="s">
        <v>16</v>
      </c>
      <c r="B68" t="s">
        <v>96</v>
      </c>
    </row>
    <row r="69" spans="1:2">
      <c r="A69" t="s">
        <v>16</v>
      </c>
      <c r="B69" t="s">
        <v>9</v>
      </c>
    </row>
    <row r="70" spans="1:2">
      <c r="A70" t="s">
        <v>35</v>
      </c>
      <c r="B70" t="s">
        <v>96</v>
      </c>
    </row>
    <row r="71" spans="1:2">
      <c r="A71" t="s">
        <v>35</v>
      </c>
      <c r="B71" t="s">
        <v>9</v>
      </c>
    </row>
    <row r="72" spans="1:2">
      <c r="A72" t="s">
        <v>24</v>
      </c>
      <c r="B72" t="s">
        <v>96</v>
      </c>
    </row>
    <row r="73" spans="1:2">
      <c r="A73" t="s">
        <v>24</v>
      </c>
      <c r="B73" t="s">
        <v>9</v>
      </c>
    </row>
    <row r="74" spans="1:2">
      <c r="A74" t="s">
        <v>17</v>
      </c>
      <c r="B74" t="s">
        <v>96</v>
      </c>
    </row>
    <row r="75" spans="1:2">
      <c r="A75" t="s">
        <v>17</v>
      </c>
      <c r="B75" t="s">
        <v>9</v>
      </c>
    </row>
    <row r="76" spans="1:2">
      <c r="A76" t="s">
        <v>14</v>
      </c>
      <c r="B76" t="s">
        <v>96</v>
      </c>
    </row>
    <row r="77" spans="1:2">
      <c r="A77" t="s">
        <v>14</v>
      </c>
      <c r="B77" t="s">
        <v>9</v>
      </c>
    </row>
    <row r="78" spans="1:2">
      <c r="A78" t="s">
        <v>8</v>
      </c>
      <c r="B78" t="s">
        <v>96</v>
      </c>
    </row>
    <row r="79" spans="1:2">
      <c r="A79" t="s">
        <v>8</v>
      </c>
      <c r="B79" t="s">
        <v>9</v>
      </c>
    </row>
    <row r="80" spans="1:2">
      <c r="A80" t="s">
        <v>15</v>
      </c>
      <c r="B80" t="s">
        <v>96</v>
      </c>
    </row>
    <row r="81" spans="1:17">
      <c r="A81" t="s">
        <v>15</v>
      </c>
      <c r="B81" t="s">
        <v>9</v>
      </c>
    </row>
    <row r="83" spans="1:17" s="14" customFormat="1">
      <c r="A83" s="14" t="s">
        <v>97</v>
      </c>
    </row>
    <row r="84" spans="1:17">
      <c r="B84" s="6">
        <f>C59</f>
        <v>0</v>
      </c>
      <c r="C84" s="6">
        <f t="shared" ref="C84:M84" si="0">D59</f>
        <v>0</v>
      </c>
      <c r="D84" s="6">
        <f t="shared" si="0"/>
        <v>0</v>
      </c>
      <c r="E84" s="6">
        <f t="shared" si="0"/>
        <v>0</v>
      </c>
      <c r="F84" s="6">
        <f t="shared" si="0"/>
        <v>0</v>
      </c>
      <c r="G84" s="6">
        <f t="shared" si="0"/>
        <v>0</v>
      </c>
      <c r="H84" s="6">
        <f t="shared" si="0"/>
        <v>0</v>
      </c>
      <c r="I84" s="6">
        <f t="shared" si="0"/>
        <v>0</v>
      </c>
      <c r="J84" s="6">
        <f t="shared" si="0"/>
        <v>0</v>
      </c>
      <c r="K84" s="6">
        <f t="shared" si="0"/>
        <v>0</v>
      </c>
      <c r="L84" s="6">
        <f t="shared" si="0"/>
        <v>0</v>
      </c>
      <c r="M84" s="6">
        <f t="shared" si="0"/>
        <v>0</v>
      </c>
      <c r="N84" s="6"/>
      <c r="O84" s="6" t="s">
        <v>98</v>
      </c>
      <c r="P84" s="6"/>
      <c r="Q84" s="6"/>
    </row>
    <row r="85" spans="1:17">
      <c r="A85" t="str">
        <f>A60</f>
        <v>liangmin</v>
      </c>
      <c r="B85">
        <f>C61-C60</f>
        <v>0</v>
      </c>
      <c r="C85">
        <f t="shared" ref="C85:G85" si="1">D61-D60</f>
        <v>0</v>
      </c>
      <c r="D85">
        <f t="shared" si="1"/>
        <v>0</v>
      </c>
      <c r="E85">
        <f t="shared" si="1"/>
        <v>0</v>
      </c>
      <c r="F85">
        <f t="shared" si="1"/>
        <v>0</v>
      </c>
      <c r="G85">
        <f t="shared" si="1"/>
        <v>0</v>
      </c>
      <c r="O85">
        <f>SUM(B85:M85)</f>
        <v>0</v>
      </c>
    </row>
    <row r="86" spans="1:17">
      <c r="A86" t="str">
        <f>A62</f>
        <v>hongyi</v>
      </c>
      <c r="B86">
        <f>C63-C62</f>
        <v>0</v>
      </c>
      <c r="C86">
        <f t="shared" ref="C86:G86" si="2">D63-D62</f>
        <v>0</v>
      </c>
      <c r="D86">
        <f t="shared" si="2"/>
        <v>0</v>
      </c>
      <c r="E86">
        <f t="shared" si="2"/>
        <v>0</v>
      </c>
      <c r="F86">
        <f t="shared" si="2"/>
        <v>0</v>
      </c>
      <c r="G86">
        <f t="shared" si="2"/>
        <v>0</v>
      </c>
      <c r="O86">
        <f>SUM(B86:G86)</f>
        <v>0</v>
      </c>
    </row>
    <row r="87" spans="1:17">
      <c r="A87" t="str">
        <f>A64</f>
        <v>yingjun</v>
      </c>
      <c r="B87">
        <f>C65-C64</f>
        <v>0</v>
      </c>
      <c r="C87">
        <f t="shared" ref="C87:G87" si="3">D65-D64</f>
        <v>0</v>
      </c>
      <c r="D87">
        <f t="shared" si="3"/>
        <v>0</v>
      </c>
      <c r="E87">
        <f t="shared" si="3"/>
        <v>0</v>
      </c>
      <c r="F87">
        <f t="shared" si="3"/>
        <v>0</v>
      </c>
      <c r="G87">
        <f t="shared" si="3"/>
        <v>0</v>
      </c>
      <c r="O87">
        <f t="shared" ref="O87:O95" si="4">SUM(B87:G87)</f>
        <v>0</v>
      </c>
    </row>
    <row r="88" spans="1:17">
      <c r="A88" t="str">
        <f>A66</f>
        <v>alice</v>
      </c>
      <c r="B88">
        <f>C67-C66</f>
        <v>0</v>
      </c>
      <c r="C88">
        <f t="shared" ref="C88:G88" si="5">D67-D66</f>
        <v>0</v>
      </c>
      <c r="D88">
        <f t="shared" si="5"/>
        <v>0</v>
      </c>
      <c r="E88">
        <f t="shared" si="5"/>
        <v>0</v>
      </c>
      <c r="F88">
        <f t="shared" si="5"/>
        <v>0</v>
      </c>
      <c r="G88">
        <f t="shared" si="5"/>
        <v>0</v>
      </c>
      <c r="O88">
        <f t="shared" si="4"/>
        <v>0</v>
      </c>
    </row>
    <row r="89" spans="1:17">
      <c r="A89" t="str">
        <f>A68</f>
        <v>zhilong</v>
      </c>
      <c r="B89">
        <f>C69-C68</f>
        <v>0</v>
      </c>
      <c r="C89">
        <f t="shared" ref="C89:G89" si="6">D69-D68</f>
        <v>0</v>
      </c>
      <c r="D89">
        <f t="shared" si="6"/>
        <v>0</v>
      </c>
      <c r="E89">
        <f t="shared" si="6"/>
        <v>0</v>
      </c>
      <c r="F89">
        <f t="shared" si="6"/>
        <v>0</v>
      </c>
      <c r="G89">
        <f t="shared" si="6"/>
        <v>0</v>
      </c>
      <c r="O89">
        <f t="shared" si="4"/>
        <v>0</v>
      </c>
    </row>
    <row r="90" spans="1:17">
      <c r="A90" t="str">
        <f>A70</f>
        <v>zhaohe</v>
      </c>
      <c r="B90">
        <f>C71-C70</f>
        <v>0</v>
      </c>
      <c r="C90">
        <f t="shared" ref="C90:G90" si="7">D71-D70</f>
        <v>0</v>
      </c>
      <c r="D90">
        <f t="shared" si="7"/>
        <v>0</v>
      </c>
      <c r="E90">
        <f t="shared" si="7"/>
        <v>0</v>
      </c>
      <c r="F90">
        <f t="shared" si="7"/>
        <v>0</v>
      </c>
      <c r="G90">
        <f t="shared" si="7"/>
        <v>0</v>
      </c>
      <c r="O90">
        <f t="shared" si="4"/>
        <v>0</v>
      </c>
    </row>
    <row r="91" spans="1:17">
      <c r="A91" t="str">
        <f>A72</f>
        <v>weifeng</v>
      </c>
      <c r="B91">
        <f>C73-C72</f>
        <v>0</v>
      </c>
      <c r="C91">
        <f t="shared" ref="C91:G91" si="8">D73-D72</f>
        <v>0</v>
      </c>
      <c r="D91">
        <f t="shared" si="8"/>
        <v>0</v>
      </c>
      <c r="E91">
        <f t="shared" si="8"/>
        <v>0</v>
      </c>
      <c r="F91">
        <f t="shared" si="8"/>
        <v>0</v>
      </c>
      <c r="G91">
        <f t="shared" si="8"/>
        <v>0</v>
      </c>
      <c r="O91">
        <f t="shared" si="4"/>
        <v>0</v>
      </c>
    </row>
    <row r="92" spans="1:17">
      <c r="A92" t="str">
        <f>A74</f>
        <v>chenchen</v>
      </c>
      <c r="B92">
        <f>C75-C74</f>
        <v>0</v>
      </c>
      <c r="C92">
        <f t="shared" ref="C92:G92" si="9">D75-D74</f>
        <v>0</v>
      </c>
      <c r="D92">
        <f t="shared" si="9"/>
        <v>0</v>
      </c>
      <c r="E92">
        <f t="shared" si="9"/>
        <v>0</v>
      </c>
      <c r="F92">
        <f t="shared" si="9"/>
        <v>0</v>
      </c>
      <c r="G92">
        <f t="shared" si="9"/>
        <v>0</v>
      </c>
      <c r="O92">
        <f t="shared" si="4"/>
        <v>0</v>
      </c>
    </row>
    <row r="93" spans="1:17">
      <c r="A93" t="str">
        <f>A76</f>
        <v>shaobin</v>
      </c>
      <c r="B93">
        <f>C77-C76</f>
        <v>0</v>
      </c>
      <c r="C93">
        <f t="shared" ref="C93:G93" si="10">D77-D76</f>
        <v>0</v>
      </c>
      <c r="D93">
        <f t="shared" si="10"/>
        <v>0</v>
      </c>
      <c r="E93">
        <f t="shared" si="10"/>
        <v>0</v>
      </c>
      <c r="F93">
        <f t="shared" si="10"/>
        <v>0</v>
      </c>
      <c r="G93">
        <f t="shared" si="10"/>
        <v>0</v>
      </c>
      <c r="O93">
        <f t="shared" si="4"/>
        <v>0</v>
      </c>
    </row>
    <row r="94" spans="1:17">
      <c r="A94" t="str">
        <f>A78</f>
        <v>weili</v>
      </c>
      <c r="B94">
        <f>C79-C78</f>
        <v>0</v>
      </c>
      <c r="C94">
        <f t="shared" ref="C94:G94" si="11">D79-D78</f>
        <v>0</v>
      </c>
      <c r="D94">
        <f t="shared" si="11"/>
        <v>0</v>
      </c>
      <c r="E94">
        <f t="shared" si="11"/>
        <v>0</v>
      </c>
      <c r="F94">
        <f t="shared" si="11"/>
        <v>0</v>
      </c>
      <c r="G94">
        <f t="shared" si="11"/>
        <v>0</v>
      </c>
      <c r="O94">
        <f t="shared" si="4"/>
        <v>0</v>
      </c>
    </row>
    <row r="95" spans="1:17">
      <c r="A95" t="str">
        <f>A80</f>
        <v>wufang</v>
      </c>
      <c r="B95">
        <f>C81-C80</f>
        <v>0</v>
      </c>
      <c r="C95">
        <f t="shared" ref="C95:G95" si="12">D81-D80</f>
        <v>0</v>
      </c>
      <c r="D95">
        <f t="shared" si="12"/>
        <v>0</v>
      </c>
      <c r="E95">
        <f t="shared" si="12"/>
        <v>0</v>
      </c>
      <c r="F95">
        <f t="shared" si="12"/>
        <v>0</v>
      </c>
      <c r="G95">
        <f t="shared" si="12"/>
        <v>0</v>
      </c>
      <c r="O95">
        <f t="shared" si="4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27E2E-FBB4-4C5C-A40D-F38E62AE23B9}">
  <sheetPr codeName="Sheet6"/>
  <dimension ref="A1:B21"/>
  <sheetViews>
    <sheetView workbookViewId="0">
      <selection activeCell="E30" sqref="E30"/>
    </sheetView>
  </sheetViews>
  <sheetFormatPr defaultRowHeight="15"/>
  <cols>
    <col min="2" max="2" width="19.7109375" customWidth="1"/>
  </cols>
  <sheetData>
    <row r="1" spans="1:2" s="12" customFormat="1">
      <c r="A1" s="12" t="s">
        <v>74</v>
      </c>
    </row>
    <row r="2" spans="1:2">
      <c r="A2" t="s">
        <v>75</v>
      </c>
      <c r="B2" t="s">
        <v>76</v>
      </c>
    </row>
    <row r="3" spans="1:2">
      <c r="A3">
        <v>1</v>
      </c>
      <c r="B3" s="13" t="s">
        <v>77</v>
      </c>
    </row>
    <row r="4" spans="1:2">
      <c r="B4" t="s">
        <v>78</v>
      </c>
    </row>
    <row r="5" spans="1:2">
      <c r="B5" t="s">
        <v>79</v>
      </c>
    </row>
    <row r="6" spans="1:2">
      <c r="B6" t="s">
        <v>80</v>
      </c>
    </row>
    <row r="7" spans="1:2">
      <c r="B7" t="s">
        <v>81</v>
      </c>
    </row>
    <row r="8" spans="1:2">
      <c r="B8" t="s">
        <v>34</v>
      </c>
    </row>
    <row r="9" spans="1:2">
      <c r="A9">
        <v>2</v>
      </c>
      <c r="B9" t="s">
        <v>82</v>
      </c>
    </row>
    <row r="10" spans="1:2">
      <c r="B10" t="s">
        <v>83</v>
      </c>
    </row>
    <row r="11" spans="1:2">
      <c r="B11" t="s">
        <v>84</v>
      </c>
    </row>
    <row r="12" spans="1:2">
      <c r="B12" t="s">
        <v>85</v>
      </c>
    </row>
    <row r="13" spans="1:2">
      <c r="B13" t="s">
        <v>86</v>
      </c>
    </row>
    <row r="14" spans="1:2">
      <c r="B14" t="s">
        <v>87</v>
      </c>
    </row>
    <row r="15" spans="1:2">
      <c r="B15" t="s">
        <v>88</v>
      </c>
    </row>
    <row r="16" spans="1:2">
      <c r="B16" t="s">
        <v>89</v>
      </c>
    </row>
    <row r="17" spans="1:2">
      <c r="A17">
        <v>3</v>
      </c>
      <c r="B17" t="s">
        <v>90</v>
      </c>
    </row>
    <row r="18" spans="1:2">
      <c r="B18" t="s">
        <v>91</v>
      </c>
    </row>
    <row r="19" spans="1:2">
      <c r="A19">
        <v>4</v>
      </c>
      <c r="B19" t="s">
        <v>92</v>
      </c>
    </row>
    <row r="20" spans="1:2">
      <c r="A20">
        <v>5</v>
      </c>
      <c r="B20" t="s">
        <v>93</v>
      </c>
    </row>
    <row r="21" spans="1:2">
      <c r="B21" t="s">
        <v>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0747F1F7064741A50E850C903291CE" ma:contentTypeVersion="8" ma:contentTypeDescription="Create a new document." ma:contentTypeScope="" ma:versionID="6fa973a945eececb83e659c9bb15d4cb">
  <xsd:schema xmlns:xsd="http://www.w3.org/2001/XMLSchema" xmlns:xs="http://www.w3.org/2001/XMLSchema" xmlns:p="http://schemas.microsoft.com/office/2006/metadata/properties" xmlns:ns2="16860e7e-282a-4827-b3d9-408afbf5b752" xmlns:ns3="352b4980-4cff-4cf8-aef1-410da29697ec" targetNamespace="http://schemas.microsoft.com/office/2006/metadata/properties" ma:root="true" ma:fieldsID="433a5566ff5657cf90c694fe253ac2b1" ns2:_="" ns3:_="">
    <xsd:import namespace="16860e7e-282a-4827-b3d9-408afbf5b752"/>
    <xsd:import namespace="352b4980-4cff-4cf8-aef1-410da29697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60e7e-282a-4827-b3d9-408afbf5b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2b4980-4cff-4cf8-aef1-410da29697e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29601C-F504-40AA-A492-9A99C0F156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860e7e-282a-4827-b3d9-408afbf5b752"/>
    <ds:schemaRef ds:uri="352b4980-4cff-4cf8-aef1-410da29697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821E22-FE07-44A1-8C2D-7FA2C8258930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352b4980-4cff-4cf8-aef1-410da29697ec"/>
    <ds:schemaRef ds:uri="16860e7e-282a-4827-b3d9-408afbf5b752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6E9D169-BD12-4E68-8756-798B4DD520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Weekly</vt:lpstr>
      <vt:lpstr>Analyze</vt:lpstr>
      <vt:lpstr>WSummary</vt:lpstr>
      <vt:lpstr>Rules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2006-09-13T11:21:51Z</dcterms:created>
  <dcterms:modified xsi:type="dcterms:W3CDTF">2019-01-17T08:07:55Z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0x010100900747F1F7064741A50E850C903291CE</vt:lpwstr>
  </property>
  <property fmtid="{D5CDD505-2E9C-101B-9397-08002B2CF9AE}" pid="3" name="AuthorIds_UIVersion_40960">
    <vt:lpwstr>14</vt:lpwstr>
  </property>
</Properties>
</file>