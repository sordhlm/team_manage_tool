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601" codeName="{009DFEA7-8C9C-09C3-8CAF-802165E75F88}"/>
  <workbookPr filterPrivacy="1" codeName="ThisWorkbook" autoCompressPictures="0"/>
  <xr:revisionPtr revIDLastSave="0" documentId="13_ncr:1_{70B75024-B7D6-4F68-AE8D-C595D39C8C0F}" xr6:coauthVersionLast="43" xr6:coauthVersionMax="43" xr10:uidLastSave="{00000000-0000-0000-0000-000000000000}"/>
  <bookViews>
    <workbookView xWindow="-120" yWindow="-120" windowWidth="29040" windowHeight="15840" activeTab="1" xr2:uid="{00000000-000D-0000-FFFF-FFFF00000000}"/>
  </bookViews>
  <sheets>
    <sheet name="Weekly" sheetId="15" r:id="rId1"/>
    <sheet name="Analyze" sheetId="22" r:id="rId2"/>
    <sheet name="Rules" sheetId="21" r:id="rId3"/>
    <sheet name="WSummary" sheetId="20" r:id="rId4"/>
  </sheets>
  <functionGroups builtInGroupCount="19"/>
  <definedNames>
    <definedName name="_xlnm._FilterDatabase" localSheetId="0" hidden="1">Weekly!$D$1:$D$1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95" i="20" l="1"/>
  <c r="F95" i="20"/>
  <c r="E95" i="20"/>
  <c r="D95" i="20"/>
  <c r="C95" i="20"/>
  <c r="B95" i="20"/>
  <c r="A95" i="20"/>
  <c r="G94" i="20"/>
  <c r="F94" i="20"/>
  <c r="E94" i="20"/>
  <c r="D94" i="20"/>
  <c r="C94" i="20"/>
  <c r="B94" i="20"/>
  <c r="A94" i="20"/>
  <c r="G93" i="20"/>
  <c r="F93" i="20"/>
  <c r="E93" i="20"/>
  <c r="D93" i="20"/>
  <c r="C93" i="20"/>
  <c r="B93" i="20"/>
  <c r="A93" i="20"/>
  <c r="G92" i="20"/>
  <c r="F92" i="20"/>
  <c r="E92" i="20"/>
  <c r="D92" i="20"/>
  <c r="C92" i="20"/>
  <c r="B92" i="20"/>
  <c r="A92" i="20"/>
  <c r="G91" i="20"/>
  <c r="F91" i="20"/>
  <c r="E91" i="20"/>
  <c r="D91" i="20"/>
  <c r="C91" i="20"/>
  <c r="B91" i="20"/>
  <c r="A91" i="20"/>
  <c r="G90" i="20"/>
  <c r="F90" i="20"/>
  <c r="E90" i="20"/>
  <c r="D90" i="20"/>
  <c r="C90" i="20"/>
  <c r="B90" i="20"/>
  <c r="A90" i="20"/>
  <c r="G89" i="20"/>
  <c r="F89" i="20"/>
  <c r="E89" i="20"/>
  <c r="D89" i="20"/>
  <c r="C89" i="20"/>
  <c r="B89" i="20"/>
  <c r="A89" i="20"/>
  <c r="G88" i="20"/>
  <c r="F88" i="20"/>
  <c r="E88" i="20"/>
  <c r="D88" i="20"/>
  <c r="C88" i="20"/>
  <c r="B88" i="20"/>
  <c r="A88" i="20"/>
  <c r="G87" i="20"/>
  <c r="F87" i="20"/>
  <c r="E87" i="20"/>
  <c r="D87" i="20"/>
  <c r="C87" i="20"/>
  <c r="B87" i="20"/>
  <c r="A87" i="20"/>
  <c r="G86" i="20"/>
  <c r="F86" i="20"/>
  <c r="E86" i="20"/>
  <c r="D86" i="20"/>
  <c r="C86" i="20"/>
  <c r="B86" i="20"/>
  <c r="A86" i="20"/>
  <c r="G85" i="20"/>
  <c r="F85" i="20"/>
  <c r="E85" i="20"/>
  <c r="D85" i="20"/>
  <c r="C85" i="20"/>
  <c r="M84" i="20"/>
  <c r="L84" i="20"/>
  <c r="K84" i="20"/>
  <c r="J84" i="20"/>
  <c r="I84" i="20"/>
  <c r="H84" i="20"/>
  <c r="G84" i="20"/>
  <c r="F84" i="20"/>
  <c r="E84" i="20"/>
  <c r="D84" i="20"/>
  <c r="C84" i="20"/>
  <c r="B85" i="20"/>
  <c r="B84" i="20"/>
  <c r="A85" i="20"/>
  <c r="O95" i="20" l="1"/>
  <c r="O85" i="20"/>
  <c r="O91" i="20"/>
  <c r="O90" i="20"/>
  <c r="O92" i="20"/>
  <c r="O94" i="20"/>
  <c r="O93" i="20"/>
  <c r="O89" i="20"/>
  <c r="O88" i="20"/>
  <c r="O87" i="20"/>
  <c r="O86" i="20"/>
</calcChain>
</file>

<file path=xl/sharedStrings.xml><?xml version="1.0" encoding="utf-8"?>
<sst xmlns="http://schemas.openxmlformats.org/spreadsheetml/2006/main" count="194" uniqueCount="88">
  <si>
    <t>Date</t>
  </si>
  <si>
    <t>Project</t>
  </si>
  <si>
    <t>Content</t>
  </si>
  <si>
    <t>Status</t>
  </si>
  <si>
    <t>Weight</t>
  </si>
  <si>
    <t>Owner</t>
  </si>
  <si>
    <t>Comment</t>
  </si>
  <si>
    <t>done this week</t>
  </si>
  <si>
    <t>weili</t>
  </si>
  <si>
    <t>done</t>
  </si>
  <si>
    <t>hongyi</t>
  </si>
  <si>
    <t xml:space="preserve"> </t>
  </si>
  <si>
    <t>liangmin</t>
  </si>
  <si>
    <t xml:space="preserve">  </t>
  </si>
  <si>
    <t>shaobin</t>
  </si>
  <si>
    <t xml:space="preserve">   </t>
  </si>
  <si>
    <t>wufang</t>
  </si>
  <si>
    <t>zhilong</t>
  </si>
  <si>
    <t>chenchen</t>
  </si>
  <si>
    <t>yingjun</t>
  </si>
  <si>
    <t>wait for FW</t>
  </si>
  <si>
    <t>weifeng</t>
  </si>
  <si>
    <t>alice</t>
  </si>
  <si>
    <t>Tahoe</t>
  </si>
  <si>
    <t>done this month</t>
  </si>
  <si>
    <t>validation plan</t>
  </si>
  <si>
    <t>zhaohe</t>
  </si>
  <si>
    <t>Alpha</t>
  </si>
  <si>
    <t>RC version regression test</t>
  </si>
  <si>
    <t>temp version Validation</t>
  </si>
  <si>
    <t>script develop</t>
  </si>
  <si>
    <t>Official version</t>
  </si>
  <si>
    <t xml:space="preserve">1) VU support </t>
  </si>
  <si>
    <t>Doing for this week</t>
  </si>
  <si>
    <t>Year Summary</t>
  </si>
  <si>
    <t>Done for last week</t>
  </si>
  <si>
    <t>Year Trend</t>
  </si>
  <si>
    <t>Done for this year</t>
  </si>
  <si>
    <t>common</t>
  </si>
  <si>
    <t>How to confirm weight</t>
  </si>
  <si>
    <t>Score</t>
  </si>
  <si>
    <t>Descript</t>
  </si>
  <si>
    <t xml:space="preserve">test env setup </t>
  </si>
  <si>
    <t>simple issue regression</t>
  </si>
  <si>
    <t>script issue fix</t>
  </si>
  <si>
    <t>review presentation</t>
  </si>
  <si>
    <t>problem confirm</t>
  </si>
  <si>
    <t>RC version regression</t>
  </si>
  <si>
    <t>new test tool setup</t>
  </si>
  <si>
    <t>small function optimize</t>
  </si>
  <si>
    <t>new feature test case list</t>
  </si>
  <si>
    <t>add ioctl</t>
  </si>
  <si>
    <t>document</t>
  </si>
  <si>
    <t>user_guide</t>
  </si>
  <si>
    <t>test cases develop plan</t>
  </si>
  <si>
    <t>full regression</t>
  </si>
  <si>
    <t>big function optimize</t>
  </si>
  <si>
    <t>new feature script develop</t>
  </si>
  <si>
    <t>new tool develop</t>
  </si>
  <si>
    <t>new platform design</t>
  </si>
  <si>
    <t>Yearly Summary</t>
  </si>
  <si>
    <t>doing</t>
  </si>
  <si>
    <t>Attitude</t>
  </si>
  <si>
    <t>Sum</t>
  </si>
  <si>
    <t>QA file system</t>
  </si>
  <si>
    <t>wait for Ben</t>
  </si>
  <si>
    <t>alice/zhaohe/wufang/zhilong</t>
  </si>
  <si>
    <t>6/25/2018</t>
  </si>
  <si>
    <t>7/23/2018</t>
  </si>
  <si>
    <t>8/20/2018</t>
  </si>
  <si>
    <t>10/8/2018</t>
  </si>
  <si>
    <t>11/5/2018</t>
  </si>
  <si>
    <t>12/3/2018</t>
  </si>
  <si>
    <t>1/2/2019</t>
  </si>
  <si>
    <t>1/28/2019</t>
  </si>
  <si>
    <t>2/25/2019</t>
  </si>
  <si>
    <t>Test case develop</t>
  </si>
  <si>
    <t>XLNAND</t>
  </si>
  <si>
    <t>3) production level test</t>
  </si>
  <si>
    <t>1) atomic + UECC</t>
  </si>
  <si>
    <t>3) MCTP</t>
  </si>
  <si>
    <t>1) D3.7</t>
  </si>
  <si>
    <t>2) 6.0RC2</t>
  </si>
  <si>
    <t>2) 6.0RC3</t>
  </si>
  <si>
    <t>5) writeZeros PI related cases</t>
  </si>
  <si>
    <t>Need to optimize</t>
  </si>
  <si>
    <t>give different weight for a mult-owner job</t>
  </si>
  <si>
    <t>hongyi/zhilong/chenchen/weili/liangmin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</si>
</sst>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Calibri"/>
      <family val="2"/>
      <charset val="134"/>
      <scheme val="minor"/>
    </font>
    <font>
      <sz val="11"/>
      <color theme="0"/>
      <name val="Calibri"/>
      <family val="2"/>
      <charset val="134"/>
      <scheme val="minor"/>
    </font>
    <font>
      <sz val="11"/>
      <color theme="1"/>
      <name val="Calibri"/>
      <family val="2"/>
      <charset val="134"/>
      <scheme val="minor"/>
    </font>
    <font>
      <sz val="9"/>
      <name val="Calibri"/>
      <family val="2"/>
      <charset val="134"/>
      <scheme val="minor"/>
    </font>
    <font>
      <sz val="11"/>
      <color rgb="FFFFFFFF"/>
      <name val="Calibri"/>
    </font>
  </fonts>
  <fills count="6">
    <fill>
      <patternFill patternType="none"/>
    </fill>
    <fill>
      <patternFill patternType="gray125"/>
    </fill>
    <fill>
      <patternFill patternType="solid">
        <fgColor theme="5" tint="-0.249977111117893"/>
        <bgColor indexed="64"/>
      </patternFill>
    </fill>
    <fill>
      <patternFill patternType="solid">
        <fgColor rgb="FF16365C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1" fillId="2" borderId="1" xfId="0" applyFont="1" applyFill="1" applyBorder="1" applyAlignment="1">
      <alignment horizontal="left" vertical="center"/>
    </xf>
    <xf numFmtId="0" fontId="1" fillId="2" borderId="1" xfId="0" applyFont="1" applyFill="1" applyBorder="1">
      <alignment vertical="center"/>
    </xf>
    <xf numFmtId="0" fontId="2" fillId="0" borderId="1" xfId="0" applyFont="1" applyBorder="1">
      <alignment vertical="center"/>
    </xf>
    <xf numFmtId="0" fontId="2" fillId="0" borderId="1" xfId="0" applyFont="1" applyBorder="1" applyAlignment="1">
      <alignment horizontal="left" vertical="center"/>
    </xf>
    <xf numFmtId="0" fontId="0" fillId="0" borderId="1" xfId="0" applyBorder="1">
      <alignment vertical="center"/>
    </xf>
    <xf numFmtId="14" fontId="0" fillId="0" borderId="0" xfId="0" applyNumberFormat="1">
      <alignment vertical="center"/>
    </xf>
    <xf numFmtId="14" fontId="4" fillId="3" borderId="2" xfId="0" applyNumberFormat="1" applyFont="1" applyFill="1" applyBorder="1" applyAlignment="1">
      <alignment horizontal="left" vertical="center" wrapText="1" readingOrder="1"/>
    </xf>
    <xf numFmtId="0" fontId="0" fillId="4" borderId="0" xfId="0" applyFill="1">
      <alignment vertical="center"/>
    </xf>
    <xf numFmtId="0" fontId="0" fillId="0" borderId="0" xfId="0" applyAlignment="1">
      <alignment vertical="center" wrapText="1"/>
    </xf>
    <xf numFmtId="0" fontId="0" fillId="5" borderId="0" xfId="0" applyFill="1">
      <alignment vertical="center"/>
    </xf>
    <xf numFmtId="49" fontId="0" fillId="0" borderId="0" xfId="0" applyNumberFormat="1">
      <alignment vertical="center"/>
    </xf>
    <xf numFmtId="0" fontId="0" fillId="0" borderId="1" xfId="0" applyFont="1" applyBorder="1">
      <alignment vertical="center"/>
    </xf>
    <xf numFmtId="0" fontId="0" fillId="0" borderId="1" xfId="0" applyFont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Doing this week Summary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WSummary!$A$2:$A$12</c:f>
              <c:strCache>
                <c:ptCount val="11"/>
                <c:pt idx="0">
                  <c:v>liangmin</c:v>
                </c:pt>
                <c:pt idx="1">
                  <c:v>hongyi</c:v>
                </c:pt>
                <c:pt idx="2">
                  <c:v>yingjun</c:v>
                </c:pt>
                <c:pt idx="3">
                  <c:v>alice</c:v>
                </c:pt>
                <c:pt idx="4">
                  <c:v>zhilong</c:v>
                </c:pt>
                <c:pt idx="5">
                  <c:v>zhaohe</c:v>
                </c:pt>
                <c:pt idx="6">
                  <c:v>weifeng</c:v>
                </c:pt>
                <c:pt idx="7">
                  <c:v>chenchen</c:v>
                </c:pt>
                <c:pt idx="8">
                  <c:v>shaobin</c:v>
                </c:pt>
                <c:pt idx="9">
                  <c:v>weili</c:v>
                </c:pt>
                <c:pt idx="10">
                  <c:v>wufang</c:v>
                </c:pt>
              </c:strCache>
            </c:strRef>
          </c:cat>
          <c:val>
            <c:numRef>
              <c:f>WSummary!$B$2:$B$12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FB-4882-BBF2-6C6342AF6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06540952"/>
        <c:axId val="606536360"/>
      </c:barChart>
      <c:catAx>
        <c:axId val="6065409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6536360"/>
        <c:crosses val="autoZero"/>
        <c:auto val="1"/>
        <c:lblAlgn val="ctr"/>
        <c:lblOffset val="100"/>
        <c:noMultiLvlLbl val="0"/>
      </c:catAx>
      <c:valAx>
        <c:axId val="606536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6540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Done last week Summary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Task Summary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WSummary!$A$21:$A$31</c:f>
              <c:strCache>
                <c:ptCount val="11"/>
                <c:pt idx="0">
                  <c:v>liangmin</c:v>
                </c:pt>
                <c:pt idx="1">
                  <c:v>hongyi</c:v>
                </c:pt>
                <c:pt idx="2">
                  <c:v>yingjun</c:v>
                </c:pt>
                <c:pt idx="3">
                  <c:v>alice</c:v>
                </c:pt>
                <c:pt idx="4">
                  <c:v>zhilong</c:v>
                </c:pt>
                <c:pt idx="5">
                  <c:v>zhaohe</c:v>
                </c:pt>
                <c:pt idx="6">
                  <c:v>weifeng</c:v>
                </c:pt>
                <c:pt idx="7">
                  <c:v>chenchen</c:v>
                </c:pt>
                <c:pt idx="8">
                  <c:v>shaobin</c:v>
                </c:pt>
                <c:pt idx="9">
                  <c:v>weili</c:v>
                </c:pt>
                <c:pt idx="10">
                  <c:v>wufang</c:v>
                </c:pt>
              </c:strCache>
            </c:strRef>
          </c:cat>
          <c:val>
            <c:numRef>
              <c:f>WSummary!$B$21:$B$31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AF-4A44-B915-42C7CB1CCB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06540952"/>
        <c:axId val="606536360"/>
      </c:barChart>
      <c:catAx>
        <c:axId val="6065409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6536360"/>
        <c:crosses val="autoZero"/>
        <c:auto val="1"/>
        <c:lblAlgn val="ctr"/>
        <c:lblOffset val="100"/>
        <c:noMultiLvlLbl val="0"/>
      </c:catAx>
      <c:valAx>
        <c:axId val="606536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6540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Done this year Summary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WSummary!$A$41:$A$51</c:f>
              <c:strCache>
                <c:ptCount val="11"/>
                <c:pt idx="0">
                  <c:v>liangmin</c:v>
                </c:pt>
                <c:pt idx="1">
                  <c:v>hongyi</c:v>
                </c:pt>
                <c:pt idx="2">
                  <c:v>yingjun</c:v>
                </c:pt>
                <c:pt idx="3">
                  <c:v>alice</c:v>
                </c:pt>
                <c:pt idx="4">
                  <c:v>zhilong</c:v>
                </c:pt>
                <c:pt idx="5">
                  <c:v>zhaohe</c:v>
                </c:pt>
                <c:pt idx="6">
                  <c:v>weifeng</c:v>
                </c:pt>
                <c:pt idx="7">
                  <c:v>chenchen</c:v>
                </c:pt>
                <c:pt idx="8">
                  <c:v>shaobin</c:v>
                </c:pt>
                <c:pt idx="9">
                  <c:v>weili</c:v>
                </c:pt>
                <c:pt idx="10">
                  <c:v>wufang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WSummary!$A$2:$A$12</c:f>
              <c:strCache>
                <c:ptCount val="11"/>
                <c:pt idx="0">
                  <c:v>liangmin</c:v>
                </c:pt>
                <c:pt idx="1">
                  <c:v>hongyi</c:v>
                </c:pt>
                <c:pt idx="2">
                  <c:v>yingjun</c:v>
                </c:pt>
                <c:pt idx="3">
                  <c:v>alice</c:v>
                </c:pt>
                <c:pt idx="4">
                  <c:v>zhilong</c:v>
                </c:pt>
                <c:pt idx="5">
                  <c:v>zhaohe</c:v>
                </c:pt>
                <c:pt idx="6">
                  <c:v>weifeng</c:v>
                </c:pt>
                <c:pt idx="7">
                  <c:v>chenchen</c:v>
                </c:pt>
                <c:pt idx="8">
                  <c:v>shaobin</c:v>
                </c:pt>
                <c:pt idx="9">
                  <c:v>weili</c:v>
                </c:pt>
                <c:pt idx="10">
                  <c:v>wufang</c:v>
                </c:pt>
              </c:strCache>
            </c:strRef>
          </c:cat>
          <c:val>
            <c:numRef>
              <c:f>WSummary!$B$41:$B$51</c:f>
              <c:numCache>
                <c:formatCode>General</c:formatCode>
                <c:ptCount val="11"/>
                <c:pt idx="0">
                  <c:v>0.3</c:v>
                </c:pt>
                <c:pt idx="1">
                  <c:v>0.9</c:v>
                </c:pt>
                <c:pt idx="2">
                  <c:v>0</c:v>
                </c:pt>
                <c:pt idx="3">
                  <c:v>0</c:v>
                </c:pt>
                <c:pt idx="4">
                  <c:v>0.75</c:v>
                </c:pt>
                <c:pt idx="5">
                  <c:v>0</c:v>
                </c:pt>
                <c:pt idx="6">
                  <c:v>0</c:v>
                </c:pt>
                <c:pt idx="7">
                  <c:v>2.6</c:v>
                </c:pt>
                <c:pt idx="8">
                  <c:v>0</c:v>
                </c:pt>
                <c:pt idx="9">
                  <c:v>0.45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8C-4B4C-B39F-3C917BDFC03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606540952"/>
        <c:axId val="606536360"/>
      </c:barChart>
      <c:catAx>
        <c:axId val="6065409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6536360"/>
        <c:crosses val="autoZero"/>
        <c:auto val="1"/>
        <c:lblAlgn val="ctr"/>
        <c:lblOffset val="100"/>
        <c:noMultiLvlLbl val="0"/>
      </c:catAx>
      <c:valAx>
        <c:axId val="606536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6540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Month</a:t>
            </a:r>
            <a:r>
              <a:rPr lang="en-US" baseline="0"/>
              <a:t> Trend for doing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WSummary!$A$60:$B$60</c:f>
              <c:strCache>
                <c:ptCount val="2"/>
                <c:pt idx="0">
                  <c:v>liangmin</c:v>
                </c:pt>
                <c:pt idx="1">
                  <c:v>doing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WSummary!$C$59:$Y$59</c:f>
              <c:strCache>
                <c:ptCount val="11"/>
                <c:pt idx="0">
                  <c:v>6/25/2018</c:v>
                </c:pt>
                <c:pt idx="1">
                  <c:v>7/23/2018</c:v>
                </c:pt>
                <c:pt idx="2">
                  <c:v>8/20/2018</c:v>
                </c:pt>
                <c:pt idx="3">
                  <c:v>10/8/2018</c:v>
                </c:pt>
                <c:pt idx="4">
                  <c:v>11/5/2018</c:v>
                </c:pt>
                <c:pt idx="5">
                  <c:v>12/3/2018</c:v>
                </c:pt>
                <c:pt idx="6">
                  <c:v>1/2/2019</c:v>
                </c:pt>
                <c:pt idx="7">
                  <c:v>1/28/2019</c:v>
                </c:pt>
                <c:pt idx="8">
                  <c:v>2/25/2019</c:v>
                </c:pt>
                <c:pt idx="9">
                  <c:v>3/25/2019</c:v>
                </c:pt>
                <c:pt idx="10">
                  <c:v>4/22/2019</c:v>
                </c:pt>
              </c:strCache>
            </c:strRef>
          </c:cat>
          <c:val>
            <c:numRef>
              <c:f>WSummary!$C$60:$Y$60</c:f>
              <c:numCache>
                <c:formatCode>General</c:formatCode>
                <c:ptCount val="23"/>
                <c:pt idx="0">
                  <c:v>8</c:v>
                </c:pt>
                <c:pt idx="1">
                  <c:v>8</c:v>
                </c:pt>
                <c:pt idx="2">
                  <c:v>6</c:v>
                </c:pt>
                <c:pt idx="3">
                  <c:v>10</c:v>
                </c:pt>
                <c:pt idx="4">
                  <c:v>14</c:v>
                </c:pt>
                <c:pt idx="5">
                  <c:v>6</c:v>
                </c:pt>
                <c:pt idx="6">
                  <c:v>15</c:v>
                </c:pt>
                <c:pt idx="7">
                  <c:v>19</c:v>
                </c:pt>
                <c:pt idx="8">
                  <c:v>4</c:v>
                </c:pt>
                <c:pt idx="9">
                  <c:v>9</c:v>
                </c:pt>
                <c:pt idx="10">
                  <c:v>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02A-4909-8D41-9687EB340984}"/>
            </c:ext>
          </c:extLst>
        </c:ser>
        <c:ser>
          <c:idx val="1"/>
          <c:order val="1"/>
          <c:tx>
            <c:strRef>
              <c:f>WSummary!$A$62:$B$62</c:f>
              <c:strCache>
                <c:ptCount val="2"/>
                <c:pt idx="0">
                  <c:v>hongyi</c:v>
                </c:pt>
                <c:pt idx="1">
                  <c:v>doing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WSummary!$C$59:$Y$59</c:f>
              <c:strCache>
                <c:ptCount val="11"/>
                <c:pt idx="0">
                  <c:v>6/25/2018</c:v>
                </c:pt>
                <c:pt idx="1">
                  <c:v>7/23/2018</c:v>
                </c:pt>
                <c:pt idx="2">
                  <c:v>8/20/2018</c:v>
                </c:pt>
                <c:pt idx="3">
                  <c:v>10/8/2018</c:v>
                </c:pt>
                <c:pt idx="4">
                  <c:v>11/5/2018</c:v>
                </c:pt>
                <c:pt idx="5">
                  <c:v>12/3/2018</c:v>
                </c:pt>
                <c:pt idx="6">
                  <c:v>1/2/2019</c:v>
                </c:pt>
                <c:pt idx="7">
                  <c:v>1/28/2019</c:v>
                </c:pt>
                <c:pt idx="8">
                  <c:v>2/25/2019</c:v>
                </c:pt>
                <c:pt idx="9">
                  <c:v>3/25/2019</c:v>
                </c:pt>
                <c:pt idx="10">
                  <c:v>4/22/2019</c:v>
                </c:pt>
              </c:strCache>
            </c:strRef>
          </c:cat>
          <c:val>
            <c:numRef>
              <c:f>WSummary!$C$62:$Y$62</c:f>
              <c:numCache>
                <c:formatCode>General</c:formatCode>
                <c:ptCount val="23"/>
                <c:pt idx="0">
                  <c:v>11</c:v>
                </c:pt>
                <c:pt idx="1">
                  <c:v>4</c:v>
                </c:pt>
                <c:pt idx="2">
                  <c:v>5</c:v>
                </c:pt>
                <c:pt idx="3">
                  <c:v>8</c:v>
                </c:pt>
                <c:pt idx="4">
                  <c:v>6</c:v>
                </c:pt>
                <c:pt idx="5">
                  <c:v>5</c:v>
                </c:pt>
                <c:pt idx="6">
                  <c:v>9</c:v>
                </c:pt>
                <c:pt idx="7">
                  <c:v>12</c:v>
                </c:pt>
                <c:pt idx="8">
                  <c:v>4</c:v>
                </c:pt>
                <c:pt idx="9">
                  <c:v>8</c:v>
                </c:pt>
                <c:pt idx="10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02A-4909-8D41-9687EB340984}"/>
            </c:ext>
          </c:extLst>
        </c:ser>
        <c:ser>
          <c:idx val="2"/>
          <c:order val="2"/>
          <c:tx>
            <c:strRef>
              <c:f>WSummary!$A$64:$B$64</c:f>
              <c:strCache>
                <c:ptCount val="2"/>
                <c:pt idx="0">
                  <c:v>yingjun</c:v>
                </c:pt>
                <c:pt idx="1">
                  <c:v>doing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WSummary!$C$64:$Y$64</c:f>
              <c:numCache>
                <c:formatCode>General</c:formatCode>
                <c:ptCount val="23"/>
                <c:pt idx="0">
                  <c:v>10</c:v>
                </c:pt>
                <c:pt idx="1">
                  <c:v>8</c:v>
                </c:pt>
                <c:pt idx="2">
                  <c:v>15</c:v>
                </c:pt>
                <c:pt idx="3">
                  <c:v>10</c:v>
                </c:pt>
                <c:pt idx="4">
                  <c:v>15</c:v>
                </c:pt>
                <c:pt idx="5">
                  <c:v>23</c:v>
                </c:pt>
                <c:pt idx="6">
                  <c:v>8</c:v>
                </c:pt>
                <c:pt idx="7">
                  <c:v>6</c:v>
                </c:pt>
                <c:pt idx="8">
                  <c:v>7</c:v>
                </c:pt>
                <c:pt idx="9">
                  <c:v>7</c:v>
                </c:pt>
                <c:pt idx="10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02A-4909-8D41-9687EB340984}"/>
            </c:ext>
          </c:extLst>
        </c:ser>
        <c:ser>
          <c:idx val="3"/>
          <c:order val="3"/>
          <c:tx>
            <c:strRef>
              <c:f>WSummary!$A$66:$B$66</c:f>
              <c:strCache>
                <c:ptCount val="2"/>
                <c:pt idx="0">
                  <c:v>alice</c:v>
                </c:pt>
                <c:pt idx="1">
                  <c:v>doing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WSummary!$C$66:$Y$66</c:f>
              <c:numCache>
                <c:formatCode>General</c:formatCode>
                <c:ptCount val="23"/>
                <c:pt idx="0">
                  <c:v>10</c:v>
                </c:pt>
                <c:pt idx="1">
                  <c:v>7</c:v>
                </c:pt>
                <c:pt idx="2">
                  <c:v>5</c:v>
                </c:pt>
                <c:pt idx="3">
                  <c:v>3</c:v>
                </c:pt>
                <c:pt idx="4">
                  <c:v>11</c:v>
                </c:pt>
                <c:pt idx="5">
                  <c:v>14</c:v>
                </c:pt>
                <c:pt idx="6">
                  <c:v>17</c:v>
                </c:pt>
                <c:pt idx="7">
                  <c:v>11</c:v>
                </c:pt>
                <c:pt idx="8">
                  <c:v>6</c:v>
                </c:pt>
                <c:pt idx="9">
                  <c:v>9</c:v>
                </c:pt>
                <c:pt idx="10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02A-4909-8D41-9687EB340984}"/>
            </c:ext>
          </c:extLst>
        </c:ser>
        <c:ser>
          <c:idx val="4"/>
          <c:order val="4"/>
          <c:tx>
            <c:strRef>
              <c:f>WSummary!$A$68:$B$68</c:f>
              <c:strCache>
                <c:ptCount val="2"/>
                <c:pt idx="0">
                  <c:v>zhilong</c:v>
                </c:pt>
                <c:pt idx="1">
                  <c:v>doing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WSummary!$C$68:$Y$68</c:f>
              <c:numCache>
                <c:formatCode>General</c:formatCode>
                <c:ptCount val="23"/>
                <c:pt idx="0">
                  <c:v>11</c:v>
                </c:pt>
                <c:pt idx="1">
                  <c:v>7</c:v>
                </c:pt>
                <c:pt idx="2">
                  <c:v>12</c:v>
                </c:pt>
                <c:pt idx="3">
                  <c:v>6</c:v>
                </c:pt>
                <c:pt idx="4">
                  <c:v>5</c:v>
                </c:pt>
                <c:pt idx="5">
                  <c:v>5</c:v>
                </c:pt>
                <c:pt idx="6">
                  <c:v>13</c:v>
                </c:pt>
                <c:pt idx="7">
                  <c:v>11</c:v>
                </c:pt>
                <c:pt idx="8">
                  <c:v>6</c:v>
                </c:pt>
                <c:pt idx="9">
                  <c:v>14</c:v>
                </c:pt>
                <c:pt idx="10">
                  <c:v>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02A-4909-8D41-9687EB340984}"/>
            </c:ext>
          </c:extLst>
        </c:ser>
        <c:ser>
          <c:idx val="5"/>
          <c:order val="5"/>
          <c:tx>
            <c:strRef>
              <c:f>WSummary!$A$70:$B$70</c:f>
              <c:strCache>
                <c:ptCount val="2"/>
                <c:pt idx="0">
                  <c:v>zhaohe</c:v>
                </c:pt>
                <c:pt idx="1">
                  <c:v>doing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WSummary!$C$70:$Y$70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6</c:v>
                </c:pt>
                <c:pt idx="5">
                  <c:v>8</c:v>
                </c:pt>
                <c:pt idx="6">
                  <c:v>12</c:v>
                </c:pt>
                <c:pt idx="7">
                  <c:v>11</c:v>
                </c:pt>
                <c:pt idx="8">
                  <c:v>2</c:v>
                </c:pt>
                <c:pt idx="9">
                  <c:v>6</c:v>
                </c:pt>
                <c:pt idx="10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02A-4909-8D41-9687EB340984}"/>
            </c:ext>
          </c:extLst>
        </c:ser>
        <c:ser>
          <c:idx val="6"/>
          <c:order val="6"/>
          <c:tx>
            <c:strRef>
              <c:f>WSummary!$A$72:$B$72</c:f>
              <c:strCache>
                <c:ptCount val="2"/>
                <c:pt idx="0">
                  <c:v>weifeng</c:v>
                </c:pt>
                <c:pt idx="1">
                  <c:v>doing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WSummary!$C$72:$Y$72</c:f>
              <c:numCache>
                <c:formatCode>General</c:formatCode>
                <c:ptCount val="23"/>
                <c:pt idx="0">
                  <c:v>11</c:v>
                </c:pt>
                <c:pt idx="1">
                  <c:v>6</c:v>
                </c:pt>
                <c:pt idx="2">
                  <c:v>8</c:v>
                </c:pt>
                <c:pt idx="3">
                  <c:v>6</c:v>
                </c:pt>
                <c:pt idx="4">
                  <c:v>3</c:v>
                </c:pt>
                <c:pt idx="5">
                  <c:v>7</c:v>
                </c:pt>
                <c:pt idx="6">
                  <c:v>6</c:v>
                </c:pt>
                <c:pt idx="7">
                  <c:v>5</c:v>
                </c:pt>
                <c:pt idx="8">
                  <c:v>4</c:v>
                </c:pt>
                <c:pt idx="9">
                  <c:v>11</c:v>
                </c:pt>
                <c:pt idx="10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902A-4909-8D41-9687EB340984}"/>
            </c:ext>
          </c:extLst>
        </c:ser>
        <c:ser>
          <c:idx val="7"/>
          <c:order val="7"/>
          <c:tx>
            <c:strRef>
              <c:f>WSummary!$A$74:$B$74</c:f>
              <c:strCache>
                <c:ptCount val="2"/>
                <c:pt idx="0">
                  <c:v>chenchen</c:v>
                </c:pt>
                <c:pt idx="1">
                  <c:v>doing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WSummary!$C$74:$Y$74</c:f>
              <c:numCache>
                <c:formatCode>General</c:formatCode>
                <c:ptCount val="23"/>
                <c:pt idx="0">
                  <c:v>12</c:v>
                </c:pt>
                <c:pt idx="1">
                  <c:v>5</c:v>
                </c:pt>
                <c:pt idx="2">
                  <c:v>9</c:v>
                </c:pt>
                <c:pt idx="3">
                  <c:v>3</c:v>
                </c:pt>
                <c:pt idx="4">
                  <c:v>4</c:v>
                </c:pt>
                <c:pt idx="5">
                  <c:v>15</c:v>
                </c:pt>
                <c:pt idx="6">
                  <c:v>8</c:v>
                </c:pt>
                <c:pt idx="7">
                  <c:v>3</c:v>
                </c:pt>
                <c:pt idx="8">
                  <c:v>2</c:v>
                </c:pt>
                <c:pt idx="9">
                  <c:v>6</c:v>
                </c:pt>
                <c:pt idx="10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902A-4909-8D41-9687EB340984}"/>
            </c:ext>
          </c:extLst>
        </c:ser>
        <c:ser>
          <c:idx val="8"/>
          <c:order val="8"/>
          <c:tx>
            <c:strRef>
              <c:f>WSummary!$A$76:$B$76</c:f>
              <c:strCache>
                <c:ptCount val="2"/>
                <c:pt idx="0">
                  <c:v>shaobin</c:v>
                </c:pt>
                <c:pt idx="1">
                  <c:v>doing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WSummary!$C$76:$Y$76</c:f>
              <c:numCache>
                <c:formatCode>General</c:formatCode>
                <c:ptCount val="23"/>
                <c:pt idx="0">
                  <c:v>13</c:v>
                </c:pt>
                <c:pt idx="1">
                  <c:v>15</c:v>
                </c:pt>
                <c:pt idx="2">
                  <c:v>6</c:v>
                </c:pt>
                <c:pt idx="3">
                  <c:v>15</c:v>
                </c:pt>
                <c:pt idx="4">
                  <c:v>9</c:v>
                </c:pt>
                <c:pt idx="5">
                  <c:v>7</c:v>
                </c:pt>
                <c:pt idx="6">
                  <c:v>5</c:v>
                </c:pt>
                <c:pt idx="7">
                  <c:v>7</c:v>
                </c:pt>
                <c:pt idx="8">
                  <c:v>10</c:v>
                </c:pt>
                <c:pt idx="9">
                  <c:v>11</c:v>
                </c:pt>
                <c:pt idx="10">
                  <c:v>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902A-4909-8D41-9687EB340984}"/>
            </c:ext>
          </c:extLst>
        </c:ser>
        <c:ser>
          <c:idx val="9"/>
          <c:order val="9"/>
          <c:tx>
            <c:strRef>
              <c:f>WSummary!$A$78:$B$78</c:f>
              <c:strCache>
                <c:ptCount val="2"/>
                <c:pt idx="0">
                  <c:v>weili</c:v>
                </c:pt>
                <c:pt idx="1">
                  <c:v>doing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WSummary!$C$78:$Y$78</c:f>
              <c:numCache>
                <c:formatCode>General</c:formatCode>
                <c:ptCount val="23"/>
                <c:pt idx="0">
                  <c:v>13</c:v>
                </c:pt>
                <c:pt idx="1">
                  <c:v>9</c:v>
                </c:pt>
                <c:pt idx="2">
                  <c:v>6</c:v>
                </c:pt>
                <c:pt idx="3">
                  <c:v>6</c:v>
                </c:pt>
                <c:pt idx="4">
                  <c:v>11</c:v>
                </c:pt>
                <c:pt idx="5">
                  <c:v>9</c:v>
                </c:pt>
                <c:pt idx="6">
                  <c:v>8</c:v>
                </c:pt>
                <c:pt idx="7">
                  <c:v>5</c:v>
                </c:pt>
                <c:pt idx="8">
                  <c:v>5</c:v>
                </c:pt>
                <c:pt idx="9">
                  <c:v>9</c:v>
                </c:pt>
                <c:pt idx="10">
                  <c:v>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902A-4909-8D41-9687EB340984}"/>
            </c:ext>
          </c:extLst>
        </c:ser>
        <c:ser>
          <c:idx val="10"/>
          <c:order val="10"/>
          <c:tx>
            <c:strRef>
              <c:f>WSummary!$A$80:$B$80</c:f>
              <c:strCache>
                <c:ptCount val="2"/>
                <c:pt idx="0">
                  <c:v>wufang</c:v>
                </c:pt>
                <c:pt idx="1">
                  <c:v>doing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WSummary!$C$80:$Y$80</c:f>
              <c:numCache>
                <c:formatCode>General</c:formatCode>
                <c:ptCount val="23"/>
                <c:pt idx="0">
                  <c:v>7</c:v>
                </c:pt>
                <c:pt idx="1">
                  <c:v>3</c:v>
                </c:pt>
                <c:pt idx="2">
                  <c:v>5</c:v>
                </c:pt>
                <c:pt idx="3">
                  <c:v>3</c:v>
                </c:pt>
                <c:pt idx="4">
                  <c:v>4</c:v>
                </c:pt>
                <c:pt idx="5">
                  <c:v>17</c:v>
                </c:pt>
                <c:pt idx="6">
                  <c:v>10</c:v>
                </c:pt>
                <c:pt idx="7">
                  <c:v>14</c:v>
                </c:pt>
                <c:pt idx="8">
                  <c:v>9</c:v>
                </c:pt>
                <c:pt idx="9">
                  <c:v>9</c:v>
                </c:pt>
                <c:pt idx="10">
                  <c:v>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902A-4909-8D41-9687EB3409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4032264"/>
        <c:axId val="674032592"/>
      </c:lineChart>
      <c:catAx>
        <c:axId val="674032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032592"/>
        <c:crosses val="autoZero"/>
        <c:auto val="1"/>
        <c:lblAlgn val="ctr"/>
        <c:lblOffset val="100"/>
        <c:noMultiLvlLbl val="1"/>
      </c:catAx>
      <c:valAx>
        <c:axId val="674032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0322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Month</a:t>
            </a:r>
            <a:r>
              <a:rPr lang="en-US" baseline="0"/>
              <a:t> Trend for done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WSummary!$A$61:$B$61</c:f>
              <c:strCache>
                <c:ptCount val="2"/>
                <c:pt idx="0">
                  <c:v>liangmin</c:v>
                </c:pt>
                <c:pt idx="1">
                  <c:v>done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WSummary!$C$59:$Y$59</c:f>
              <c:strCache>
                <c:ptCount val="11"/>
                <c:pt idx="0">
                  <c:v>6/25/2018</c:v>
                </c:pt>
                <c:pt idx="1">
                  <c:v>7/23/2018</c:v>
                </c:pt>
                <c:pt idx="2">
                  <c:v>8/20/2018</c:v>
                </c:pt>
                <c:pt idx="3">
                  <c:v>10/8/2018</c:v>
                </c:pt>
                <c:pt idx="4">
                  <c:v>11/5/2018</c:v>
                </c:pt>
                <c:pt idx="5">
                  <c:v>12/3/2018</c:v>
                </c:pt>
                <c:pt idx="6">
                  <c:v>1/2/2019</c:v>
                </c:pt>
                <c:pt idx="7">
                  <c:v>1/28/2019</c:v>
                </c:pt>
                <c:pt idx="8">
                  <c:v>2/25/2019</c:v>
                </c:pt>
                <c:pt idx="9">
                  <c:v>3/25/2019</c:v>
                </c:pt>
                <c:pt idx="10">
                  <c:v>4/22/2019</c:v>
                </c:pt>
              </c:strCache>
            </c:strRef>
          </c:cat>
          <c:val>
            <c:numRef>
              <c:f>WSummary!$C$61:$V$61</c:f>
              <c:numCache>
                <c:formatCode>General</c:formatCode>
                <c:ptCount val="20"/>
                <c:pt idx="0">
                  <c:v>10.17</c:v>
                </c:pt>
                <c:pt idx="1">
                  <c:v>10.33</c:v>
                </c:pt>
                <c:pt idx="2">
                  <c:v>4</c:v>
                </c:pt>
                <c:pt idx="3">
                  <c:v>14.67</c:v>
                </c:pt>
                <c:pt idx="4">
                  <c:v>11</c:v>
                </c:pt>
                <c:pt idx="5">
                  <c:v>8</c:v>
                </c:pt>
                <c:pt idx="6">
                  <c:v>12.58</c:v>
                </c:pt>
                <c:pt idx="7">
                  <c:v>9</c:v>
                </c:pt>
                <c:pt idx="8">
                  <c:v>6.5</c:v>
                </c:pt>
                <c:pt idx="9">
                  <c:v>8</c:v>
                </c:pt>
                <c:pt idx="10">
                  <c:v>5.9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86-47FA-956D-F8742992C4A7}"/>
            </c:ext>
          </c:extLst>
        </c:ser>
        <c:ser>
          <c:idx val="1"/>
          <c:order val="1"/>
          <c:tx>
            <c:strRef>
              <c:f>WSummary!$A$63:$B$63</c:f>
              <c:strCache>
                <c:ptCount val="2"/>
                <c:pt idx="0">
                  <c:v>hongyi</c:v>
                </c:pt>
                <c:pt idx="1">
                  <c:v>done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WSummary!$C$59:$Y$59</c:f>
              <c:strCache>
                <c:ptCount val="11"/>
                <c:pt idx="0">
                  <c:v>6/25/2018</c:v>
                </c:pt>
                <c:pt idx="1">
                  <c:v>7/23/2018</c:v>
                </c:pt>
                <c:pt idx="2">
                  <c:v>8/20/2018</c:v>
                </c:pt>
                <c:pt idx="3">
                  <c:v>10/8/2018</c:v>
                </c:pt>
                <c:pt idx="4">
                  <c:v>11/5/2018</c:v>
                </c:pt>
                <c:pt idx="5">
                  <c:v>12/3/2018</c:v>
                </c:pt>
                <c:pt idx="6">
                  <c:v>1/2/2019</c:v>
                </c:pt>
                <c:pt idx="7">
                  <c:v>1/28/2019</c:v>
                </c:pt>
                <c:pt idx="8">
                  <c:v>2/25/2019</c:v>
                </c:pt>
                <c:pt idx="9">
                  <c:v>3/25/2019</c:v>
                </c:pt>
                <c:pt idx="10">
                  <c:v>4/22/2019</c:v>
                </c:pt>
              </c:strCache>
            </c:strRef>
          </c:cat>
          <c:val>
            <c:numRef>
              <c:f>WSummary!$C$63:$X$63</c:f>
              <c:numCache>
                <c:formatCode>General</c:formatCode>
                <c:ptCount val="22"/>
                <c:pt idx="0">
                  <c:v>15.5</c:v>
                </c:pt>
                <c:pt idx="1">
                  <c:v>11.5</c:v>
                </c:pt>
                <c:pt idx="2">
                  <c:v>7.17</c:v>
                </c:pt>
                <c:pt idx="3">
                  <c:v>10</c:v>
                </c:pt>
                <c:pt idx="4">
                  <c:v>7</c:v>
                </c:pt>
                <c:pt idx="5">
                  <c:v>8</c:v>
                </c:pt>
                <c:pt idx="6">
                  <c:v>10.67</c:v>
                </c:pt>
                <c:pt idx="7">
                  <c:v>7.83</c:v>
                </c:pt>
                <c:pt idx="8">
                  <c:v>4</c:v>
                </c:pt>
                <c:pt idx="9">
                  <c:v>4.5</c:v>
                </c:pt>
                <c:pt idx="10">
                  <c:v>3.65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286-47FA-956D-F8742992C4A7}"/>
            </c:ext>
          </c:extLst>
        </c:ser>
        <c:ser>
          <c:idx val="2"/>
          <c:order val="2"/>
          <c:tx>
            <c:strRef>
              <c:f>WSummary!$A$65:$B$65</c:f>
              <c:strCache>
                <c:ptCount val="2"/>
                <c:pt idx="0">
                  <c:v>yingjun</c:v>
                </c:pt>
                <c:pt idx="1">
                  <c:v>done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WSummary!$C$65:$X$65</c:f>
              <c:numCache>
                <c:formatCode>General</c:formatCode>
                <c:ptCount val="22"/>
                <c:pt idx="0">
                  <c:v>14</c:v>
                </c:pt>
                <c:pt idx="1">
                  <c:v>10</c:v>
                </c:pt>
                <c:pt idx="2">
                  <c:v>13</c:v>
                </c:pt>
                <c:pt idx="3">
                  <c:v>10</c:v>
                </c:pt>
                <c:pt idx="4">
                  <c:v>12.5</c:v>
                </c:pt>
                <c:pt idx="5">
                  <c:v>14</c:v>
                </c:pt>
                <c:pt idx="6">
                  <c:v>14.5</c:v>
                </c:pt>
                <c:pt idx="7">
                  <c:v>4.5</c:v>
                </c:pt>
                <c:pt idx="8">
                  <c:v>4.25</c:v>
                </c:pt>
                <c:pt idx="9">
                  <c:v>8.5</c:v>
                </c:pt>
                <c:pt idx="10">
                  <c:v>4.55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286-47FA-956D-F8742992C4A7}"/>
            </c:ext>
          </c:extLst>
        </c:ser>
        <c:ser>
          <c:idx val="3"/>
          <c:order val="3"/>
          <c:tx>
            <c:strRef>
              <c:f>WSummary!$A$67:$B$67</c:f>
              <c:strCache>
                <c:ptCount val="2"/>
                <c:pt idx="0">
                  <c:v>alice</c:v>
                </c:pt>
                <c:pt idx="1">
                  <c:v>done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WSummary!$C$67:$Y$67</c:f>
              <c:numCache>
                <c:formatCode>General</c:formatCode>
                <c:ptCount val="23"/>
                <c:pt idx="0">
                  <c:v>11.17</c:v>
                </c:pt>
                <c:pt idx="1">
                  <c:v>10.33</c:v>
                </c:pt>
                <c:pt idx="2">
                  <c:v>10.17</c:v>
                </c:pt>
                <c:pt idx="3">
                  <c:v>7.67</c:v>
                </c:pt>
                <c:pt idx="4">
                  <c:v>11</c:v>
                </c:pt>
                <c:pt idx="5">
                  <c:v>12.67</c:v>
                </c:pt>
                <c:pt idx="6">
                  <c:v>12.5</c:v>
                </c:pt>
                <c:pt idx="7">
                  <c:v>4.67</c:v>
                </c:pt>
                <c:pt idx="8">
                  <c:v>6.5</c:v>
                </c:pt>
                <c:pt idx="9">
                  <c:v>5.5</c:v>
                </c:pt>
                <c:pt idx="10">
                  <c:v>3.55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286-47FA-956D-F8742992C4A7}"/>
            </c:ext>
          </c:extLst>
        </c:ser>
        <c:ser>
          <c:idx val="4"/>
          <c:order val="4"/>
          <c:tx>
            <c:strRef>
              <c:f>WSummary!$A$69:$B$69</c:f>
              <c:strCache>
                <c:ptCount val="2"/>
                <c:pt idx="0">
                  <c:v>zhilong</c:v>
                </c:pt>
                <c:pt idx="1">
                  <c:v>done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WSummary!$C$69:$Y$69</c:f>
              <c:numCache>
                <c:formatCode>General</c:formatCode>
                <c:ptCount val="23"/>
                <c:pt idx="0">
                  <c:v>11</c:v>
                </c:pt>
                <c:pt idx="1">
                  <c:v>9</c:v>
                </c:pt>
                <c:pt idx="2">
                  <c:v>5</c:v>
                </c:pt>
                <c:pt idx="3">
                  <c:v>9</c:v>
                </c:pt>
                <c:pt idx="4">
                  <c:v>3</c:v>
                </c:pt>
                <c:pt idx="5">
                  <c:v>8.17</c:v>
                </c:pt>
                <c:pt idx="6">
                  <c:v>9.33</c:v>
                </c:pt>
                <c:pt idx="7">
                  <c:v>9.75</c:v>
                </c:pt>
                <c:pt idx="8">
                  <c:v>2</c:v>
                </c:pt>
                <c:pt idx="9">
                  <c:v>8.5</c:v>
                </c:pt>
                <c:pt idx="10">
                  <c:v>7.95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286-47FA-956D-F8742992C4A7}"/>
            </c:ext>
          </c:extLst>
        </c:ser>
        <c:ser>
          <c:idx val="5"/>
          <c:order val="5"/>
          <c:tx>
            <c:strRef>
              <c:f>WSummary!$A$71:$B$71</c:f>
              <c:strCache>
                <c:ptCount val="2"/>
                <c:pt idx="0">
                  <c:v>zhaohe</c:v>
                </c:pt>
                <c:pt idx="1">
                  <c:v>done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WSummary!$C$71:$Y$71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</c:v>
                </c:pt>
                <c:pt idx="5">
                  <c:v>8.5</c:v>
                </c:pt>
                <c:pt idx="6">
                  <c:v>13.33</c:v>
                </c:pt>
                <c:pt idx="7">
                  <c:v>5.42</c:v>
                </c:pt>
                <c:pt idx="8">
                  <c:v>4.5</c:v>
                </c:pt>
                <c:pt idx="9">
                  <c:v>5.5</c:v>
                </c:pt>
                <c:pt idx="10">
                  <c:v>2.0499999999999998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286-47FA-956D-F8742992C4A7}"/>
            </c:ext>
          </c:extLst>
        </c:ser>
        <c:ser>
          <c:idx val="6"/>
          <c:order val="6"/>
          <c:tx>
            <c:strRef>
              <c:f>WSummary!$A$73:$B$73</c:f>
              <c:strCache>
                <c:ptCount val="2"/>
                <c:pt idx="0">
                  <c:v>weifeng</c:v>
                </c:pt>
                <c:pt idx="1">
                  <c:v>done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WSummary!$C$73:$Y$73</c:f>
              <c:numCache>
                <c:formatCode>General</c:formatCode>
                <c:ptCount val="23"/>
                <c:pt idx="0">
                  <c:v>14</c:v>
                </c:pt>
                <c:pt idx="1">
                  <c:v>5</c:v>
                </c:pt>
                <c:pt idx="2">
                  <c:v>5</c:v>
                </c:pt>
                <c:pt idx="3">
                  <c:v>6</c:v>
                </c:pt>
                <c:pt idx="4">
                  <c:v>6.5</c:v>
                </c:pt>
                <c:pt idx="5">
                  <c:v>4</c:v>
                </c:pt>
                <c:pt idx="6">
                  <c:v>8.5</c:v>
                </c:pt>
                <c:pt idx="7">
                  <c:v>6.5</c:v>
                </c:pt>
                <c:pt idx="8">
                  <c:v>1.25</c:v>
                </c:pt>
                <c:pt idx="9">
                  <c:v>6</c:v>
                </c:pt>
                <c:pt idx="10">
                  <c:v>6.55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C286-47FA-956D-F8742992C4A7}"/>
            </c:ext>
          </c:extLst>
        </c:ser>
        <c:ser>
          <c:idx val="7"/>
          <c:order val="7"/>
          <c:tx>
            <c:strRef>
              <c:f>WSummary!$A$75:$B$75</c:f>
              <c:strCache>
                <c:ptCount val="2"/>
                <c:pt idx="0">
                  <c:v>chenchen</c:v>
                </c:pt>
                <c:pt idx="1">
                  <c:v>done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WSummary!$C$75:$Y$75</c:f>
              <c:numCache>
                <c:formatCode>General</c:formatCode>
                <c:ptCount val="23"/>
                <c:pt idx="0">
                  <c:v>13</c:v>
                </c:pt>
                <c:pt idx="1">
                  <c:v>7</c:v>
                </c:pt>
                <c:pt idx="2">
                  <c:v>5.5</c:v>
                </c:pt>
                <c:pt idx="3">
                  <c:v>6.67</c:v>
                </c:pt>
                <c:pt idx="4">
                  <c:v>2</c:v>
                </c:pt>
                <c:pt idx="5">
                  <c:v>5.17</c:v>
                </c:pt>
                <c:pt idx="6">
                  <c:v>9.92</c:v>
                </c:pt>
                <c:pt idx="7">
                  <c:v>1.17</c:v>
                </c:pt>
                <c:pt idx="8">
                  <c:v>2</c:v>
                </c:pt>
                <c:pt idx="9">
                  <c:v>5.5</c:v>
                </c:pt>
                <c:pt idx="10">
                  <c:v>3.65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C286-47FA-956D-F8742992C4A7}"/>
            </c:ext>
          </c:extLst>
        </c:ser>
        <c:ser>
          <c:idx val="8"/>
          <c:order val="8"/>
          <c:tx>
            <c:strRef>
              <c:f>WSummary!$A$77:$B$77</c:f>
              <c:strCache>
                <c:ptCount val="2"/>
                <c:pt idx="0">
                  <c:v>shaobin</c:v>
                </c:pt>
                <c:pt idx="1">
                  <c:v>done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WSummary!$C$77:$Y$77</c:f>
              <c:numCache>
                <c:formatCode>General</c:formatCode>
                <c:ptCount val="23"/>
                <c:pt idx="0">
                  <c:v>13.5</c:v>
                </c:pt>
                <c:pt idx="1">
                  <c:v>12.5</c:v>
                </c:pt>
                <c:pt idx="2">
                  <c:v>5</c:v>
                </c:pt>
                <c:pt idx="3">
                  <c:v>14</c:v>
                </c:pt>
                <c:pt idx="4">
                  <c:v>10</c:v>
                </c:pt>
                <c:pt idx="5">
                  <c:v>9</c:v>
                </c:pt>
                <c:pt idx="6">
                  <c:v>10</c:v>
                </c:pt>
                <c:pt idx="7">
                  <c:v>5</c:v>
                </c:pt>
                <c:pt idx="8">
                  <c:v>11</c:v>
                </c:pt>
                <c:pt idx="9">
                  <c:v>13</c:v>
                </c:pt>
                <c:pt idx="10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C286-47FA-956D-F8742992C4A7}"/>
            </c:ext>
          </c:extLst>
        </c:ser>
        <c:ser>
          <c:idx val="9"/>
          <c:order val="9"/>
          <c:tx>
            <c:strRef>
              <c:f>WSummary!$A$79:$B$79</c:f>
              <c:strCache>
                <c:ptCount val="2"/>
                <c:pt idx="0">
                  <c:v>weili</c:v>
                </c:pt>
                <c:pt idx="1">
                  <c:v>done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WSummary!$C$79:$Y$79</c:f>
              <c:numCache>
                <c:formatCode>General</c:formatCode>
                <c:ptCount val="23"/>
                <c:pt idx="0">
                  <c:v>13.67</c:v>
                </c:pt>
                <c:pt idx="1">
                  <c:v>11.33</c:v>
                </c:pt>
                <c:pt idx="2">
                  <c:v>9.17</c:v>
                </c:pt>
                <c:pt idx="3">
                  <c:v>10</c:v>
                </c:pt>
                <c:pt idx="4">
                  <c:v>6</c:v>
                </c:pt>
                <c:pt idx="5">
                  <c:v>11.5</c:v>
                </c:pt>
                <c:pt idx="6">
                  <c:v>14.33</c:v>
                </c:pt>
                <c:pt idx="7">
                  <c:v>4.33</c:v>
                </c:pt>
                <c:pt idx="8">
                  <c:v>6</c:v>
                </c:pt>
                <c:pt idx="9">
                  <c:v>18.5</c:v>
                </c:pt>
                <c:pt idx="10">
                  <c:v>7.65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C286-47FA-956D-F8742992C4A7}"/>
            </c:ext>
          </c:extLst>
        </c:ser>
        <c:ser>
          <c:idx val="10"/>
          <c:order val="10"/>
          <c:tx>
            <c:strRef>
              <c:f>WSummary!$A$81:$B$81</c:f>
              <c:strCache>
                <c:ptCount val="2"/>
                <c:pt idx="0">
                  <c:v>wufang</c:v>
                </c:pt>
                <c:pt idx="1">
                  <c:v>done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WSummary!$C$81:$Y$81</c:f>
              <c:numCache>
                <c:formatCode>General</c:formatCode>
                <c:ptCount val="23"/>
                <c:pt idx="0">
                  <c:v>10</c:v>
                </c:pt>
                <c:pt idx="1">
                  <c:v>6</c:v>
                </c:pt>
                <c:pt idx="2">
                  <c:v>3.5</c:v>
                </c:pt>
                <c:pt idx="3">
                  <c:v>9</c:v>
                </c:pt>
                <c:pt idx="4">
                  <c:v>3</c:v>
                </c:pt>
                <c:pt idx="5">
                  <c:v>6</c:v>
                </c:pt>
                <c:pt idx="6">
                  <c:v>12.33</c:v>
                </c:pt>
                <c:pt idx="7">
                  <c:v>6.83</c:v>
                </c:pt>
                <c:pt idx="8">
                  <c:v>8.5</c:v>
                </c:pt>
                <c:pt idx="9">
                  <c:v>7.5</c:v>
                </c:pt>
                <c:pt idx="10">
                  <c:v>4.5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C286-47FA-956D-F8742992C4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4032264"/>
        <c:axId val="674032592"/>
      </c:lineChart>
      <c:catAx>
        <c:axId val="674032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032592"/>
        <c:crosses val="autoZero"/>
        <c:auto val="1"/>
        <c:lblAlgn val="ctr"/>
        <c:lblOffset val="100"/>
        <c:noMultiLvlLbl val="1"/>
      </c:catAx>
      <c:valAx>
        <c:axId val="674032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0322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Attitude This Year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WSummary!$A$85:$A$95</c:f>
              <c:strCache>
                <c:ptCount val="11"/>
                <c:pt idx="0">
                  <c:v>liangmin</c:v>
                </c:pt>
                <c:pt idx="1">
                  <c:v>hongyi</c:v>
                </c:pt>
                <c:pt idx="2">
                  <c:v>yingjun</c:v>
                </c:pt>
                <c:pt idx="3">
                  <c:v>alice</c:v>
                </c:pt>
                <c:pt idx="4">
                  <c:v>zhilong</c:v>
                </c:pt>
                <c:pt idx="5">
                  <c:v>zhaohe</c:v>
                </c:pt>
                <c:pt idx="6">
                  <c:v>weifeng</c:v>
                </c:pt>
                <c:pt idx="7">
                  <c:v>chenchen</c:v>
                </c:pt>
                <c:pt idx="8">
                  <c:v>shaobin</c:v>
                </c:pt>
                <c:pt idx="9">
                  <c:v>weili</c:v>
                </c:pt>
                <c:pt idx="10">
                  <c:v>wufang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WSummary!$A$2:$A$12</c:f>
              <c:strCache>
                <c:ptCount val="11"/>
                <c:pt idx="0">
                  <c:v>liangmin</c:v>
                </c:pt>
                <c:pt idx="1">
                  <c:v>hongyi</c:v>
                </c:pt>
                <c:pt idx="2">
                  <c:v>yingjun</c:v>
                </c:pt>
                <c:pt idx="3">
                  <c:v>alice</c:v>
                </c:pt>
                <c:pt idx="4">
                  <c:v>zhilong</c:v>
                </c:pt>
                <c:pt idx="5">
                  <c:v>zhaohe</c:v>
                </c:pt>
                <c:pt idx="6">
                  <c:v>weifeng</c:v>
                </c:pt>
                <c:pt idx="7">
                  <c:v>chenchen</c:v>
                </c:pt>
                <c:pt idx="8">
                  <c:v>shaobin</c:v>
                </c:pt>
                <c:pt idx="9">
                  <c:v>weili</c:v>
                </c:pt>
                <c:pt idx="10">
                  <c:v>wufang</c:v>
                </c:pt>
              </c:strCache>
            </c:strRef>
          </c:cat>
          <c:val>
            <c:numRef>
              <c:f>WSummary!$O$85:$O$95</c:f>
              <c:numCache>
                <c:formatCode>General</c:formatCode>
                <c:ptCount val="11"/>
                <c:pt idx="0">
                  <c:v>6.17</c:v>
                </c:pt>
                <c:pt idx="1">
                  <c:v>20.170000000000002</c:v>
                </c:pt>
                <c:pt idx="2">
                  <c:v>-7.5</c:v>
                </c:pt>
                <c:pt idx="3">
                  <c:v>13.01</c:v>
                </c:pt>
                <c:pt idx="4">
                  <c:v>-0.83000000000000007</c:v>
                </c:pt>
                <c:pt idx="5">
                  <c:v>-1.5</c:v>
                </c:pt>
                <c:pt idx="6">
                  <c:v>-0.5</c:v>
                </c:pt>
                <c:pt idx="7">
                  <c:v>-8.66</c:v>
                </c:pt>
                <c:pt idx="8">
                  <c:v>-1</c:v>
                </c:pt>
                <c:pt idx="9">
                  <c:v>7.67</c:v>
                </c:pt>
                <c:pt idx="10">
                  <c:v>-1.5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91-4627-9112-D33E7615BE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606540952"/>
        <c:axId val="606536360"/>
      </c:barChart>
      <c:catAx>
        <c:axId val="60654095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6536360"/>
        <c:crosses val="autoZero"/>
        <c:auto val="1"/>
        <c:lblAlgn val="ctr"/>
        <c:lblOffset val="100"/>
        <c:noMultiLvlLbl val="0"/>
      </c:catAx>
      <c:valAx>
        <c:axId val="6065363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6540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10</xdr:col>
      <xdr:colOff>418195</xdr:colOff>
      <xdr:row>15</xdr:row>
      <xdr:rowOff>90106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B7121F5-7DFB-4487-94BF-2C252D9C5E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</xdr:row>
      <xdr:rowOff>0</xdr:rowOff>
    </xdr:from>
    <xdr:to>
      <xdr:col>21</xdr:col>
      <xdr:colOff>418195</xdr:colOff>
      <xdr:row>15</xdr:row>
      <xdr:rowOff>90107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C3DA8BB-9F0E-48F2-A707-E2C910C33B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18</xdr:row>
      <xdr:rowOff>0</xdr:rowOff>
    </xdr:from>
    <xdr:to>
      <xdr:col>10</xdr:col>
      <xdr:colOff>418195</xdr:colOff>
      <xdr:row>34</xdr:row>
      <xdr:rowOff>7620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5073B2AB-AB4C-47D5-A658-90492FF0E4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58</xdr:row>
      <xdr:rowOff>112058</xdr:rowOff>
    </xdr:from>
    <xdr:to>
      <xdr:col>28</xdr:col>
      <xdr:colOff>369794</xdr:colOff>
      <xdr:row>79</xdr:row>
      <xdr:rowOff>100852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5E4460B7-9040-47B9-82D1-C67675092A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37</xdr:row>
      <xdr:rowOff>56029</xdr:rowOff>
    </xdr:from>
    <xdr:to>
      <xdr:col>28</xdr:col>
      <xdr:colOff>414618</xdr:colOff>
      <xdr:row>58</xdr:row>
      <xdr:rowOff>56029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8C0C20B8-1F38-4C49-856D-D0638CE0C9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0</xdr:colOff>
      <xdr:row>18</xdr:row>
      <xdr:rowOff>0</xdr:rowOff>
    </xdr:from>
    <xdr:to>
      <xdr:col>22</xdr:col>
      <xdr:colOff>176148</xdr:colOff>
      <xdr:row>34</xdr:row>
      <xdr:rowOff>7620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7822C5CC-CFE1-40C9-937A-A4C98802E4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G18"/>
  <sheetViews>
    <sheetView zoomScale="145" zoomScaleNormal="145" workbookViewId="0">
      <pane ySplit="1" topLeftCell="A2" activePane="bottomLeft" state="frozen"/>
      <selection pane="bottomLeft" activeCell="B17" sqref="B17"/>
    </sheetView>
  </sheetViews>
  <sheetFormatPr defaultColWidth="9.28515625" defaultRowHeight="15"/>
  <cols>
    <col min="1" max="1" width="27.42578125" style="4" customWidth="1"/>
    <col min="2" max="2" width="25.42578125" style="3" customWidth="1"/>
    <col min="3" max="3" width="50.7109375" style="3" customWidth="1"/>
    <col min="4" max="4" width="22" style="3" customWidth="1"/>
    <col min="5" max="5" width="7.42578125" style="3" bestFit="1" customWidth="1"/>
    <col min="6" max="6" width="24.7109375" style="3" customWidth="1"/>
    <col min="7" max="7" width="46.28515625" style="3" customWidth="1"/>
    <col min="8" max="16384" width="9.28515625" style="3"/>
  </cols>
  <sheetData>
    <row r="1" spans="1:7" s="2" customFormat="1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</row>
    <row r="2" spans="1:7">
      <c r="A2" s="7">
        <v>43583</v>
      </c>
      <c r="B2" s="5" t="s">
        <v>38</v>
      </c>
      <c r="C2" s="5" t="s">
        <v>64</v>
      </c>
      <c r="D2" s="5" t="s">
        <v>65</v>
      </c>
      <c r="F2" s="5" t="s">
        <v>19</v>
      </c>
    </row>
    <row r="3" spans="1:7">
      <c r="B3" s="5" t="s">
        <v>27</v>
      </c>
      <c r="C3" s="5" t="s">
        <v>30</v>
      </c>
      <c r="D3" s="5"/>
      <c r="F3" s="5"/>
    </row>
    <row r="4" spans="1:7">
      <c r="B4" s="5"/>
      <c r="C4" s="5" t="s">
        <v>32</v>
      </c>
      <c r="D4" s="5" t="s">
        <v>20</v>
      </c>
      <c r="F4" s="5" t="s">
        <v>16</v>
      </c>
    </row>
    <row r="5" spans="1:7">
      <c r="B5" s="5"/>
      <c r="C5" s="3" t="s">
        <v>28</v>
      </c>
      <c r="F5" s="5"/>
    </row>
    <row r="6" spans="1:7">
      <c r="B6" s="5"/>
      <c r="C6" s="12" t="s">
        <v>81</v>
      </c>
      <c r="D6" s="5" t="s">
        <v>7</v>
      </c>
      <c r="F6" s="5" t="s">
        <v>66</v>
      </c>
    </row>
    <row r="7" spans="1:7">
      <c r="B7" s="5" t="s">
        <v>77</v>
      </c>
      <c r="C7" s="3" t="s">
        <v>28</v>
      </c>
      <c r="D7" s="5"/>
      <c r="F7" s="5"/>
    </row>
    <row r="8" spans="1:7">
      <c r="A8" s="13" t="s">
        <v>11</v>
      </c>
      <c r="B8" s="5" t="s">
        <v>23</v>
      </c>
      <c r="C8" s="5" t="s">
        <v>29</v>
      </c>
      <c r="D8" s="5"/>
      <c r="F8" s="5"/>
    </row>
    <row r="9" spans="1:7">
      <c r="A9" s="13" t="s">
        <v>11</v>
      </c>
      <c r="B9" s="5"/>
      <c r="C9" s="5" t="s">
        <v>78</v>
      </c>
      <c r="D9" s="5" t="s">
        <v>7</v>
      </c>
      <c r="F9" s="5" t="s">
        <v>10</v>
      </c>
    </row>
    <row r="10" spans="1:7">
      <c r="B10" s="5" t="s">
        <v>11</v>
      </c>
      <c r="C10" s="5" t="s">
        <v>31</v>
      </c>
      <c r="D10" s="5"/>
      <c r="F10" s="5"/>
    </row>
    <row r="11" spans="1:7">
      <c r="A11" s="13" t="s">
        <v>15</v>
      </c>
      <c r="B11" s="5" t="s">
        <v>13</v>
      </c>
      <c r="C11" s="5" t="s">
        <v>82</v>
      </c>
      <c r="D11" s="5" t="s">
        <v>9</v>
      </c>
      <c r="E11" s="3">
        <v>3</v>
      </c>
      <c r="F11" s="5" t="s">
        <v>87</v>
      </c>
    </row>
    <row r="12" spans="1:7">
      <c r="A12" s="13" t="s">
        <v>11</v>
      </c>
      <c r="B12" s="5"/>
      <c r="C12" s="5" t="s">
        <v>83</v>
      </c>
      <c r="D12" s="5" t="s">
        <v>7</v>
      </c>
      <c r="F12" s="5" t="s">
        <v>87</v>
      </c>
    </row>
    <row r="13" spans="1:7">
      <c r="B13" s="5"/>
      <c r="C13" s="5" t="s">
        <v>76</v>
      </c>
      <c r="D13" s="5"/>
      <c r="F13" s="5"/>
    </row>
    <row r="14" spans="1:7">
      <c r="B14" s="5"/>
      <c r="C14" s="5" t="s">
        <v>79</v>
      </c>
      <c r="D14" s="5" t="s">
        <v>9</v>
      </c>
      <c r="E14" s="3">
        <v>2</v>
      </c>
      <c r="F14" s="5" t="s">
        <v>18</v>
      </c>
    </row>
    <row r="15" spans="1:7">
      <c r="B15" s="5"/>
      <c r="C15" s="5" t="s">
        <v>80</v>
      </c>
      <c r="D15" s="5" t="s">
        <v>24</v>
      </c>
      <c r="F15" s="5" t="s">
        <v>18</v>
      </c>
    </row>
    <row r="16" spans="1:7">
      <c r="B16" s="5"/>
      <c r="C16" s="5" t="s">
        <v>84</v>
      </c>
      <c r="D16" s="5" t="s">
        <v>7</v>
      </c>
      <c r="F16" s="5" t="s">
        <v>17</v>
      </c>
    </row>
    <row r="18" spans="1:6">
      <c r="A18" s="13" t="s">
        <v>11</v>
      </c>
      <c r="C18" s="12"/>
      <c r="D18" s="12"/>
      <c r="F18" s="12"/>
    </row>
  </sheetData>
  <autoFilter ref="D1" xr:uid="{06B35658-07B1-4529-BEC2-A27D88C0D558}"/>
  <phoneticPr fontId="3" type="noConversion"/>
  <pageMargins left="0.7" right="0.7" top="0.75" bottom="0.75" header="0.3" footer="0.3"/>
  <pageSetup orientation="portrait" horizontalDpi="200" verticalDpi="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878C96-E7DE-48BF-A392-3CEB0A33AD68}">
  <sheetPr codeName="Sheet7"/>
  <dimension ref="A1:M64"/>
  <sheetViews>
    <sheetView tabSelected="1" zoomScale="85" zoomScaleNormal="85" workbookViewId="0">
      <selection activeCell="AC12" sqref="AC12"/>
    </sheetView>
  </sheetViews>
  <sheetFormatPr defaultRowHeight="15"/>
  <cols>
    <col min="3" max="4" width="9.5703125" bestFit="1" customWidth="1"/>
    <col min="5" max="5" width="10.28515625" customWidth="1"/>
    <col min="6" max="6" width="9.5703125" customWidth="1"/>
    <col min="7" max="7" width="10.85546875" customWidth="1"/>
    <col min="8" max="8" width="8.85546875" customWidth="1"/>
  </cols>
  <sheetData>
    <row r="1" spans="1:2" s="8" customFormat="1">
      <c r="A1" s="8" t="s">
        <v>33</v>
      </c>
    </row>
    <row r="2" spans="1:2">
      <c r="A2" t="s">
        <v>12</v>
      </c>
      <c r="B2">
        <v>2</v>
      </c>
    </row>
    <row r="3" spans="1:2">
      <c r="A3" t="s">
        <v>10</v>
      </c>
      <c r="B3">
        <v>2</v>
      </c>
    </row>
    <row r="4" spans="1:2">
      <c r="A4" t="s">
        <v>19</v>
      </c>
      <c r="B4">
        <v>6</v>
      </c>
    </row>
    <row r="5" spans="1:2">
      <c r="A5" t="s">
        <v>22</v>
      </c>
      <c r="B5">
        <v>4</v>
      </c>
    </row>
    <row r="6" spans="1:2">
      <c r="A6" t="s">
        <v>17</v>
      </c>
      <c r="B6">
        <v>2</v>
      </c>
    </row>
    <row r="7" spans="1:2">
      <c r="A7" t="s">
        <v>26</v>
      </c>
      <c r="B7">
        <v>1</v>
      </c>
    </row>
    <row r="8" spans="1:2">
      <c r="A8" t="s">
        <v>21</v>
      </c>
      <c r="B8">
        <v>3</v>
      </c>
    </row>
    <row r="9" spans="1:2">
      <c r="A9" t="s">
        <v>18</v>
      </c>
      <c r="B9">
        <v>3</v>
      </c>
    </row>
    <row r="10" spans="1:2">
      <c r="A10" t="s">
        <v>14</v>
      </c>
      <c r="B10">
        <v>2</v>
      </c>
    </row>
    <row r="11" spans="1:2">
      <c r="A11" t="s">
        <v>8</v>
      </c>
      <c r="B11">
        <v>1</v>
      </c>
    </row>
    <row r="12" spans="1:2">
      <c r="A12" t="s">
        <v>16</v>
      </c>
      <c r="B12">
        <v>4</v>
      </c>
    </row>
    <row r="18" spans="1:2" s="8" customFormat="1">
      <c r="A18" s="8" t="s">
        <v>34</v>
      </c>
    </row>
    <row r="20" spans="1:2">
      <c r="A20" t="s">
        <v>35</v>
      </c>
    </row>
    <row r="21" spans="1:2">
      <c r="A21" t="s">
        <v>12</v>
      </c>
      <c r="B21">
        <v>0</v>
      </c>
    </row>
    <row r="22" spans="1:2">
      <c r="A22" t="s">
        <v>10</v>
      </c>
      <c r="B22">
        <v>0</v>
      </c>
    </row>
    <row r="23" spans="1:2">
      <c r="A23" t="s">
        <v>19</v>
      </c>
      <c r="B23">
        <v>0</v>
      </c>
    </row>
    <row r="24" spans="1:2">
      <c r="A24" t="s">
        <v>22</v>
      </c>
      <c r="B24">
        <v>0</v>
      </c>
    </row>
    <row r="25" spans="1:2">
      <c r="A25" t="s">
        <v>17</v>
      </c>
      <c r="B25">
        <v>0</v>
      </c>
    </row>
    <row r="26" spans="1:2">
      <c r="A26" t="s">
        <v>26</v>
      </c>
      <c r="B26">
        <v>0</v>
      </c>
    </row>
    <row r="27" spans="1:2">
      <c r="A27" t="s">
        <v>21</v>
      </c>
      <c r="B27">
        <v>0</v>
      </c>
    </row>
    <row r="28" spans="1:2">
      <c r="A28" t="s">
        <v>18</v>
      </c>
      <c r="B28">
        <v>0</v>
      </c>
    </row>
    <row r="29" spans="1:2">
      <c r="A29" t="s">
        <v>14</v>
      </c>
      <c r="B29">
        <v>0</v>
      </c>
    </row>
    <row r="30" spans="1:2">
      <c r="A30" t="s">
        <v>8</v>
      </c>
      <c r="B30">
        <v>0</v>
      </c>
    </row>
    <row r="31" spans="1:2">
      <c r="A31" t="s">
        <v>16</v>
      </c>
      <c r="B31">
        <v>0</v>
      </c>
    </row>
    <row r="35" spans="1:4">
      <c r="C35" s="6"/>
      <c r="D35" s="6"/>
    </row>
    <row r="36" spans="1:4">
      <c r="C36" s="6"/>
      <c r="D36" s="6"/>
    </row>
    <row r="37" spans="1:4" s="8" customFormat="1">
      <c r="A37" s="8" t="s">
        <v>36</v>
      </c>
    </row>
    <row r="59" spans="3:13">
      <c r="C59" s="6"/>
      <c r="D59" s="6"/>
      <c r="E59" s="6"/>
      <c r="F59" s="6"/>
      <c r="G59" s="6"/>
    </row>
    <row r="64" spans="3:13">
      <c r="M64" t="s">
        <v>11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F27E2E-FBB4-4C5C-A40D-F38E62AE23B9}">
  <sheetPr codeName="Sheet6"/>
  <dimension ref="A1:B26"/>
  <sheetViews>
    <sheetView workbookViewId="0">
      <selection activeCell="D29" sqref="D29"/>
    </sheetView>
  </sheetViews>
  <sheetFormatPr defaultRowHeight="15"/>
  <cols>
    <col min="2" max="2" width="19.7109375" customWidth="1"/>
  </cols>
  <sheetData>
    <row r="1" spans="1:2" s="8" customFormat="1">
      <c r="A1" s="8" t="s">
        <v>39</v>
      </c>
    </row>
    <row r="2" spans="1:2">
      <c r="A2" t="s">
        <v>40</v>
      </c>
      <c r="B2" t="s">
        <v>41</v>
      </c>
    </row>
    <row r="3" spans="1:2">
      <c r="A3">
        <v>1</v>
      </c>
      <c r="B3" s="9" t="s">
        <v>42</v>
      </c>
    </row>
    <row r="4" spans="1:2">
      <c r="B4" t="s">
        <v>43</v>
      </c>
    </row>
    <row r="5" spans="1:2">
      <c r="B5" t="s">
        <v>44</v>
      </c>
    </row>
    <row r="6" spans="1:2">
      <c r="B6" t="s">
        <v>45</v>
      </c>
    </row>
    <row r="7" spans="1:2">
      <c r="B7" t="s">
        <v>46</v>
      </c>
    </row>
    <row r="8" spans="1:2">
      <c r="B8" t="s">
        <v>25</v>
      </c>
    </row>
    <row r="9" spans="1:2">
      <c r="A9">
        <v>2</v>
      </c>
      <c r="B9" t="s">
        <v>47</v>
      </c>
    </row>
    <row r="10" spans="1:2">
      <c r="B10" t="s">
        <v>48</v>
      </c>
    </row>
    <row r="11" spans="1:2">
      <c r="B11" t="s">
        <v>49</v>
      </c>
    </row>
    <row r="12" spans="1:2">
      <c r="B12" t="s">
        <v>50</v>
      </c>
    </row>
    <row r="13" spans="1:2">
      <c r="B13" t="s">
        <v>51</v>
      </c>
    </row>
    <row r="14" spans="1:2">
      <c r="B14" t="s">
        <v>52</v>
      </c>
    </row>
    <row r="15" spans="1:2">
      <c r="B15" t="s">
        <v>53</v>
      </c>
    </row>
    <row r="16" spans="1:2">
      <c r="B16" t="s">
        <v>54</v>
      </c>
    </row>
    <row r="17" spans="1:2">
      <c r="A17">
        <v>3</v>
      </c>
      <c r="B17" t="s">
        <v>55</v>
      </c>
    </row>
    <row r="18" spans="1:2">
      <c r="B18" t="s">
        <v>56</v>
      </c>
    </row>
    <row r="19" spans="1:2">
      <c r="A19">
        <v>4</v>
      </c>
      <c r="B19" t="s">
        <v>57</v>
      </c>
    </row>
    <row r="20" spans="1:2">
      <c r="A20">
        <v>5</v>
      </c>
      <c r="B20" t="s">
        <v>58</v>
      </c>
    </row>
    <row r="21" spans="1:2">
      <c r="B21" t="s">
        <v>59</v>
      </c>
    </row>
    <row r="25" spans="1:2" s="8" customFormat="1">
      <c r="A25" s="8" t="s">
        <v>85</v>
      </c>
    </row>
    <row r="26" spans="1:2">
      <c r="A26">
        <v>1</v>
      </c>
      <c r="B26" t="s">
        <v>86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27CBA5-A558-4836-B4CA-7AF913C542C1}">
  <sheetPr codeName="Sheet4"/>
  <dimension ref="A1:Y95"/>
  <sheetViews>
    <sheetView topLeftCell="A55" zoomScale="85" zoomScaleNormal="85" workbookViewId="0">
      <selection activeCell="J101" sqref="J101"/>
    </sheetView>
  </sheetViews>
  <sheetFormatPr defaultRowHeight="15"/>
  <cols>
    <col min="2" max="2" width="11.140625" customWidth="1"/>
    <col min="3" max="3" width="11.28515625" customWidth="1"/>
    <col min="4" max="4" width="10.85546875" customWidth="1"/>
    <col min="5" max="5" width="10.7109375" customWidth="1"/>
    <col min="6" max="6" width="12.7109375" customWidth="1"/>
    <col min="7" max="8" width="10.5703125" customWidth="1"/>
    <col min="9" max="9" width="12.140625" customWidth="1"/>
    <col min="10" max="10" width="11.42578125" customWidth="1"/>
    <col min="11" max="11" width="12" customWidth="1"/>
    <col min="12" max="12" width="16.42578125" customWidth="1"/>
    <col min="13" max="13" width="18.28515625" customWidth="1"/>
  </cols>
  <sheetData>
    <row r="1" spans="1:2" s="8" customFormat="1">
      <c r="A1" s="8" t="s">
        <v>33</v>
      </c>
    </row>
    <row r="2" spans="1:2">
      <c r="A2" t="s">
        <v>12</v>
      </c>
      <c r="B2">
        <v>0</v>
      </c>
    </row>
    <row r="3" spans="1:2">
      <c r="A3" t="s">
        <v>10</v>
      </c>
      <c r="B3">
        <v>0</v>
      </c>
    </row>
    <row r="4" spans="1:2">
      <c r="A4" t="s">
        <v>19</v>
      </c>
      <c r="B4">
        <v>0</v>
      </c>
    </row>
    <row r="5" spans="1:2">
      <c r="A5" t="s">
        <v>22</v>
      </c>
      <c r="B5">
        <v>0</v>
      </c>
    </row>
    <row r="6" spans="1:2">
      <c r="A6" t="s">
        <v>17</v>
      </c>
      <c r="B6">
        <v>0</v>
      </c>
    </row>
    <row r="7" spans="1:2">
      <c r="A7" t="s">
        <v>26</v>
      </c>
      <c r="B7">
        <v>0</v>
      </c>
    </row>
    <row r="8" spans="1:2">
      <c r="A8" t="s">
        <v>21</v>
      </c>
      <c r="B8">
        <v>0</v>
      </c>
    </row>
    <row r="9" spans="1:2">
      <c r="A9" t="s">
        <v>18</v>
      </c>
      <c r="B9">
        <v>0</v>
      </c>
    </row>
    <row r="10" spans="1:2">
      <c r="A10" t="s">
        <v>14</v>
      </c>
      <c r="B10">
        <v>0</v>
      </c>
    </row>
    <row r="11" spans="1:2">
      <c r="A11" t="s">
        <v>8</v>
      </c>
      <c r="B11">
        <v>0</v>
      </c>
    </row>
    <row r="12" spans="1:2">
      <c r="A12" t="s">
        <v>16</v>
      </c>
      <c r="B12">
        <v>0</v>
      </c>
    </row>
    <row r="20" spans="1:2" s="8" customFormat="1">
      <c r="A20" s="8" t="s">
        <v>35</v>
      </c>
    </row>
    <row r="21" spans="1:2">
      <c r="A21" t="s">
        <v>12</v>
      </c>
      <c r="B21">
        <v>0</v>
      </c>
    </row>
    <row r="22" spans="1:2">
      <c r="A22" t="s">
        <v>10</v>
      </c>
      <c r="B22">
        <v>0</v>
      </c>
    </row>
    <row r="23" spans="1:2">
      <c r="A23" t="s">
        <v>19</v>
      </c>
      <c r="B23">
        <v>0</v>
      </c>
    </row>
    <row r="24" spans="1:2">
      <c r="A24" t="s">
        <v>22</v>
      </c>
      <c r="B24">
        <v>0</v>
      </c>
    </row>
    <row r="25" spans="1:2">
      <c r="A25" t="s">
        <v>17</v>
      </c>
      <c r="B25">
        <v>0</v>
      </c>
    </row>
    <row r="26" spans="1:2">
      <c r="A26" t="s">
        <v>26</v>
      </c>
      <c r="B26">
        <v>0</v>
      </c>
    </row>
    <row r="27" spans="1:2">
      <c r="A27" t="s">
        <v>21</v>
      </c>
      <c r="B27">
        <v>0</v>
      </c>
    </row>
    <row r="28" spans="1:2">
      <c r="A28" t="s">
        <v>18</v>
      </c>
      <c r="B28">
        <v>0</v>
      </c>
    </row>
    <row r="29" spans="1:2">
      <c r="A29" t="s">
        <v>14</v>
      </c>
      <c r="B29">
        <v>0</v>
      </c>
    </row>
    <row r="30" spans="1:2">
      <c r="A30" t="s">
        <v>8</v>
      </c>
      <c r="B30">
        <v>0</v>
      </c>
    </row>
    <row r="31" spans="1:2">
      <c r="A31" t="s">
        <v>16</v>
      </c>
      <c r="B31">
        <v>0</v>
      </c>
    </row>
    <row r="40" spans="1:2" s="8" customFormat="1">
      <c r="A40" s="8" t="s">
        <v>37</v>
      </c>
    </row>
    <row r="41" spans="1:2">
      <c r="A41" t="s">
        <v>12</v>
      </c>
      <c r="B41">
        <v>0.3</v>
      </c>
    </row>
    <row r="42" spans="1:2">
      <c r="A42" t="s">
        <v>10</v>
      </c>
      <c r="B42">
        <v>0.9</v>
      </c>
    </row>
    <row r="43" spans="1:2">
      <c r="A43" t="s">
        <v>19</v>
      </c>
      <c r="B43">
        <v>0</v>
      </c>
    </row>
    <row r="44" spans="1:2">
      <c r="A44" t="s">
        <v>22</v>
      </c>
      <c r="B44">
        <v>0</v>
      </c>
    </row>
    <row r="45" spans="1:2">
      <c r="A45" t="s">
        <v>17</v>
      </c>
      <c r="B45">
        <v>0.75</v>
      </c>
    </row>
    <row r="46" spans="1:2">
      <c r="A46" t="s">
        <v>26</v>
      </c>
      <c r="B46">
        <v>0</v>
      </c>
    </row>
    <row r="47" spans="1:2">
      <c r="A47" t="s">
        <v>21</v>
      </c>
      <c r="B47">
        <v>0</v>
      </c>
    </row>
    <row r="48" spans="1:2">
      <c r="A48" t="s">
        <v>18</v>
      </c>
      <c r="B48">
        <v>2.6</v>
      </c>
    </row>
    <row r="49" spans="1:25">
      <c r="A49" t="s">
        <v>14</v>
      </c>
      <c r="B49">
        <v>0</v>
      </c>
    </row>
    <row r="50" spans="1:25">
      <c r="A50" t="s">
        <v>8</v>
      </c>
      <c r="B50">
        <v>0.45</v>
      </c>
    </row>
    <row r="51" spans="1:25">
      <c r="A51" t="s">
        <v>16</v>
      </c>
      <c r="B51">
        <v>0</v>
      </c>
    </row>
    <row r="58" spans="1:25" s="8" customFormat="1">
      <c r="A58" s="8" t="s">
        <v>60</v>
      </c>
    </row>
    <row r="59" spans="1:25">
      <c r="B59" s="6"/>
      <c r="C59" s="11" t="s">
        <v>67</v>
      </c>
      <c r="D59" s="11" t="s">
        <v>68</v>
      </c>
      <c r="E59" s="11" t="s">
        <v>69</v>
      </c>
      <c r="F59" s="11" t="s">
        <v>70</v>
      </c>
      <c r="G59" s="11" t="s">
        <v>71</v>
      </c>
      <c r="H59" s="11" t="s">
        <v>72</v>
      </c>
      <c r="I59" s="11" t="s">
        <v>73</v>
      </c>
      <c r="J59" s="11" t="s">
        <v>74</v>
      </c>
      <c r="K59" s="11" t="s">
        <v>75</v>
      </c>
      <c r="L59" s="6">
        <v>43549</v>
      </c>
      <c r="M59" s="6">
        <v>43577</v>
      </c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</row>
    <row r="60" spans="1:25">
      <c r="A60" s="11" t="s">
        <v>12</v>
      </c>
      <c r="B60" s="11" t="s">
        <v>61</v>
      </c>
      <c r="C60">
        <v>8</v>
      </c>
      <c r="D60">
        <v>8</v>
      </c>
      <c r="E60">
        <v>6</v>
      </c>
      <c r="F60">
        <v>10</v>
      </c>
      <c r="G60">
        <v>14</v>
      </c>
      <c r="H60">
        <v>6</v>
      </c>
      <c r="I60">
        <v>15</v>
      </c>
      <c r="J60">
        <v>19</v>
      </c>
      <c r="K60">
        <v>4</v>
      </c>
      <c r="L60">
        <v>9</v>
      </c>
      <c r="M60">
        <v>6</v>
      </c>
    </row>
    <row r="61" spans="1:25">
      <c r="A61" s="11" t="s">
        <v>12</v>
      </c>
      <c r="B61" s="11" t="s">
        <v>9</v>
      </c>
      <c r="C61">
        <v>10.17</v>
      </c>
      <c r="D61">
        <v>10.33</v>
      </c>
      <c r="E61">
        <v>4</v>
      </c>
      <c r="F61">
        <v>14.67</v>
      </c>
      <c r="G61">
        <v>11</v>
      </c>
      <c r="H61">
        <v>8</v>
      </c>
      <c r="I61">
        <v>12.58</v>
      </c>
      <c r="J61">
        <v>9</v>
      </c>
      <c r="K61">
        <v>6.5</v>
      </c>
      <c r="L61">
        <v>8</v>
      </c>
      <c r="M61">
        <v>5.9</v>
      </c>
    </row>
    <row r="62" spans="1:25">
      <c r="A62" s="11" t="s">
        <v>10</v>
      </c>
      <c r="B62" s="11" t="s">
        <v>61</v>
      </c>
      <c r="C62">
        <v>11</v>
      </c>
      <c r="D62">
        <v>4</v>
      </c>
      <c r="E62">
        <v>5</v>
      </c>
      <c r="F62">
        <v>8</v>
      </c>
      <c r="G62">
        <v>6</v>
      </c>
      <c r="H62">
        <v>5</v>
      </c>
      <c r="I62">
        <v>9</v>
      </c>
      <c r="J62">
        <v>12</v>
      </c>
      <c r="K62">
        <v>4</v>
      </c>
      <c r="L62">
        <v>8</v>
      </c>
      <c r="M62">
        <v>7</v>
      </c>
    </row>
    <row r="63" spans="1:25">
      <c r="A63" s="11" t="s">
        <v>10</v>
      </c>
      <c r="B63" s="11" t="s">
        <v>9</v>
      </c>
      <c r="C63">
        <v>15.5</v>
      </c>
      <c r="D63">
        <v>11.5</v>
      </c>
      <c r="E63">
        <v>7.17</v>
      </c>
      <c r="F63">
        <v>10</v>
      </c>
      <c r="G63">
        <v>7</v>
      </c>
      <c r="H63">
        <v>8</v>
      </c>
      <c r="I63">
        <v>10.67</v>
      </c>
      <c r="J63">
        <v>7.83</v>
      </c>
      <c r="K63">
        <v>4</v>
      </c>
      <c r="L63">
        <v>4.5</v>
      </c>
      <c r="M63">
        <v>3.65</v>
      </c>
    </row>
    <row r="64" spans="1:25">
      <c r="A64" s="11" t="s">
        <v>19</v>
      </c>
      <c r="B64" s="11" t="s">
        <v>61</v>
      </c>
      <c r="C64">
        <v>10</v>
      </c>
      <c r="D64">
        <v>8</v>
      </c>
      <c r="E64">
        <v>15</v>
      </c>
      <c r="F64">
        <v>10</v>
      </c>
      <c r="G64">
        <v>15</v>
      </c>
      <c r="H64">
        <v>23</v>
      </c>
      <c r="I64">
        <v>8</v>
      </c>
      <c r="J64">
        <v>6</v>
      </c>
      <c r="K64">
        <v>7</v>
      </c>
      <c r="L64">
        <v>7</v>
      </c>
      <c r="M64">
        <v>8</v>
      </c>
    </row>
    <row r="65" spans="1:13">
      <c r="A65" s="11" t="s">
        <v>19</v>
      </c>
      <c r="B65" s="11" t="s">
        <v>9</v>
      </c>
      <c r="C65">
        <v>14</v>
      </c>
      <c r="D65">
        <v>10</v>
      </c>
      <c r="E65">
        <v>13</v>
      </c>
      <c r="F65">
        <v>10</v>
      </c>
      <c r="G65">
        <v>12.5</v>
      </c>
      <c r="H65">
        <v>14</v>
      </c>
      <c r="I65">
        <v>14.5</v>
      </c>
      <c r="J65">
        <v>4.5</v>
      </c>
      <c r="K65">
        <v>4.25</v>
      </c>
      <c r="L65">
        <v>8.5</v>
      </c>
      <c r="M65">
        <v>4.55</v>
      </c>
    </row>
    <row r="66" spans="1:13">
      <c r="A66" s="11" t="s">
        <v>22</v>
      </c>
      <c r="B66" s="11" t="s">
        <v>61</v>
      </c>
      <c r="C66">
        <v>10</v>
      </c>
      <c r="D66">
        <v>7</v>
      </c>
      <c r="E66">
        <v>5</v>
      </c>
      <c r="F66">
        <v>3</v>
      </c>
      <c r="G66">
        <v>11</v>
      </c>
      <c r="H66">
        <v>14</v>
      </c>
      <c r="I66">
        <v>17</v>
      </c>
      <c r="J66">
        <v>11</v>
      </c>
      <c r="K66">
        <v>6</v>
      </c>
      <c r="L66">
        <v>9</v>
      </c>
      <c r="M66">
        <v>5</v>
      </c>
    </row>
    <row r="67" spans="1:13">
      <c r="A67" s="11" t="s">
        <v>22</v>
      </c>
      <c r="B67" s="11" t="s">
        <v>9</v>
      </c>
      <c r="C67">
        <v>11.17</v>
      </c>
      <c r="D67">
        <v>10.33</v>
      </c>
      <c r="E67">
        <v>10.17</v>
      </c>
      <c r="F67">
        <v>7.67</v>
      </c>
      <c r="G67">
        <v>11</v>
      </c>
      <c r="H67">
        <v>12.67</v>
      </c>
      <c r="I67">
        <v>12.5</v>
      </c>
      <c r="J67">
        <v>4.67</v>
      </c>
      <c r="K67">
        <v>6.5</v>
      </c>
      <c r="L67">
        <v>5.5</v>
      </c>
      <c r="M67">
        <v>3.55</v>
      </c>
    </row>
    <row r="68" spans="1:13">
      <c r="A68" s="11" t="s">
        <v>17</v>
      </c>
      <c r="B68" s="11" t="s">
        <v>61</v>
      </c>
      <c r="C68">
        <v>11</v>
      </c>
      <c r="D68">
        <v>7</v>
      </c>
      <c r="E68">
        <v>12</v>
      </c>
      <c r="F68">
        <v>6</v>
      </c>
      <c r="G68">
        <v>5</v>
      </c>
      <c r="H68">
        <v>5</v>
      </c>
      <c r="I68">
        <v>13</v>
      </c>
      <c r="J68">
        <v>11</v>
      </c>
      <c r="K68">
        <v>6</v>
      </c>
      <c r="L68">
        <v>14</v>
      </c>
      <c r="M68">
        <v>12</v>
      </c>
    </row>
    <row r="69" spans="1:13">
      <c r="A69" s="11" t="s">
        <v>17</v>
      </c>
      <c r="B69" s="11" t="s">
        <v>9</v>
      </c>
      <c r="C69">
        <v>11</v>
      </c>
      <c r="D69">
        <v>9</v>
      </c>
      <c r="E69">
        <v>5</v>
      </c>
      <c r="F69">
        <v>9</v>
      </c>
      <c r="G69">
        <v>3</v>
      </c>
      <c r="H69">
        <v>8.17</v>
      </c>
      <c r="I69">
        <v>9.33</v>
      </c>
      <c r="J69">
        <v>9.75</v>
      </c>
      <c r="K69">
        <v>2</v>
      </c>
      <c r="L69">
        <v>8.5</v>
      </c>
      <c r="M69">
        <v>7.95</v>
      </c>
    </row>
    <row r="70" spans="1:13">
      <c r="A70" s="11" t="s">
        <v>26</v>
      </c>
      <c r="B70" s="11" t="s">
        <v>61</v>
      </c>
      <c r="C70">
        <v>0</v>
      </c>
      <c r="D70">
        <v>0</v>
      </c>
      <c r="E70">
        <v>0</v>
      </c>
      <c r="F70">
        <v>0</v>
      </c>
      <c r="G70">
        <v>6</v>
      </c>
      <c r="H70">
        <v>8</v>
      </c>
      <c r="I70">
        <v>12</v>
      </c>
      <c r="J70">
        <v>11</v>
      </c>
      <c r="K70">
        <v>2</v>
      </c>
      <c r="L70">
        <v>6</v>
      </c>
      <c r="M70">
        <v>4</v>
      </c>
    </row>
    <row r="71" spans="1:13">
      <c r="A71" s="11" t="s">
        <v>26</v>
      </c>
      <c r="B71" s="11" t="s">
        <v>9</v>
      </c>
      <c r="C71">
        <v>0</v>
      </c>
      <c r="D71">
        <v>0</v>
      </c>
      <c r="E71">
        <v>0</v>
      </c>
      <c r="F71">
        <v>0</v>
      </c>
      <c r="G71">
        <v>4</v>
      </c>
      <c r="H71">
        <v>8.5</v>
      </c>
      <c r="I71">
        <v>13.33</v>
      </c>
      <c r="J71">
        <v>5.42</v>
      </c>
      <c r="K71">
        <v>4.5</v>
      </c>
      <c r="L71">
        <v>5.5</v>
      </c>
      <c r="M71">
        <v>2.0499999999999998</v>
      </c>
    </row>
    <row r="72" spans="1:13">
      <c r="A72" s="11" t="s">
        <v>21</v>
      </c>
      <c r="B72" s="11" t="s">
        <v>61</v>
      </c>
      <c r="C72">
        <v>11</v>
      </c>
      <c r="D72">
        <v>6</v>
      </c>
      <c r="E72">
        <v>8</v>
      </c>
      <c r="F72">
        <v>6</v>
      </c>
      <c r="G72">
        <v>3</v>
      </c>
      <c r="H72">
        <v>7</v>
      </c>
      <c r="I72">
        <v>6</v>
      </c>
      <c r="J72">
        <v>5</v>
      </c>
      <c r="K72">
        <v>4</v>
      </c>
      <c r="L72">
        <v>11</v>
      </c>
      <c r="M72">
        <v>8</v>
      </c>
    </row>
    <row r="73" spans="1:13">
      <c r="A73" s="11" t="s">
        <v>21</v>
      </c>
      <c r="B73" s="11" t="s">
        <v>9</v>
      </c>
      <c r="C73">
        <v>14</v>
      </c>
      <c r="D73">
        <v>5</v>
      </c>
      <c r="E73">
        <v>5</v>
      </c>
      <c r="F73">
        <v>6</v>
      </c>
      <c r="G73">
        <v>6.5</v>
      </c>
      <c r="H73">
        <v>4</v>
      </c>
      <c r="I73">
        <v>8.5</v>
      </c>
      <c r="J73">
        <v>6.5</v>
      </c>
      <c r="K73">
        <v>1.25</v>
      </c>
      <c r="L73">
        <v>6</v>
      </c>
      <c r="M73">
        <v>6.55</v>
      </c>
    </row>
    <row r="74" spans="1:13">
      <c r="A74" s="11" t="s">
        <v>18</v>
      </c>
      <c r="B74" s="11" t="s">
        <v>61</v>
      </c>
      <c r="C74">
        <v>12</v>
      </c>
      <c r="D74">
        <v>5</v>
      </c>
      <c r="E74">
        <v>9</v>
      </c>
      <c r="F74">
        <v>3</v>
      </c>
      <c r="G74">
        <v>4</v>
      </c>
      <c r="H74">
        <v>15</v>
      </c>
      <c r="I74">
        <v>8</v>
      </c>
      <c r="J74">
        <v>3</v>
      </c>
      <c r="K74">
        <v>2</v>
      </c>
      <c r="L74">
        <v>6</v>
      </c>
      <c r="M74">
        <v>7</v>
      </c>
    </row>
    <row r="75" spans="1:13">
      <c r="A75" s="11" t="s">
        <v>18</v>
      </c>
      <c r="B75" s="11" t="s">
        <v>9</v>
      </c>
      <c r="C75">
        <v>13</v>
      </c>
      <c r="D75">
        <v>7</v>
      </c>
      <c r="E75">
        <v>5.5</v>
      </c>
      <c r="F75">
        <v>6.67</v>
      </c>
      <c r="G75">
        <v>2</v>
      </c>
      <c r="H75">
        <v>5.17</v>
      </c>
      <c r="I75">
        <v>9.92</v>
      </c>
      <c r="J75">
        <v>1.17</v>
      </c>
      <c r="K75">
        <v>2</v>
      </c>
      <c r="L75">
        <v>5.5</v>
      </c>
      <c r="M75">
        <v>3.65</v>
      </c>
    </row>
    <row r="76" spans="1:13">
      <c r="A76" s="11" t="s">
        <v>14</v>
      </c>
      <c r="B76" s="11" t="s">
        <v>61</v>
      </c>
      <c r="C76">
        <v>13</v>
      </c>
      <c r="D76">
        <v>15</v>
      </c>
      <c r="E76">
        <v>6</v>
      </c>
      <c r="F76">
        <v>15</v>
      </c>
      <c r="G76">
        <v>9</v>
      </c>
      <c r="H76">
        <v>7</v>
      </c>
      <c r="I76">
        <v>5</v>
      </c>
      <c r="J76">
        <v>7</v>
      </c>
      <c r="K76">
        <v>10</v>
      </c>
      <c r="L76">
        <v>11</v>
      </c>
      <c r="M76">
        <v>6</v>
      </c>
    </row>
    <row r="77" spans="1:13">
      <c r="A77" s="11" t="s">
        <v>14</v>
      </c>
      <c r="B77" s="11" t="s">
        <v>9</v>
      </c>
      <c r="C77">
        <v>13.5</v>
      </c>
      <c r="D77">
        <v>12.5</v>
      </c>
      <c r="E77">
        <v>5</v>
      </c>
      <c r="F77">
        <v>14</v>
      </c>
      <c r="G77">
        <v>10</v>
      </c>
      <c r="H77">
        <v>9</v>
      </c>
      <c r="I77">
        <v>10</v>
      </c>
      <c r="J77">
        <v>5</v>
      </c>
      <c r="K77">
        <v>11</v>
      </c>
      <c r="L77">
        <v>13</v>
      </c>
      <c r="M77">
        <v>9</v>
      </c>
    </row>
    <row r="78" spans="1:13">
      <c r="A78" s="11" t="s">
        <v>8</v>
      </c>
      <c r="B78" s="11" t="s">
        <v>61</v>
      </c>
      <c r="C78">
        <v>13</v>
      </c>
      <c r="D78">
        <v>9</v>
      </c>
      <c r="E78">
        <v>6</v>
      </c>
      <c r="F78">
        <v>6</v>
      </c>
      <c r="G78">
        <v>11</v>
      </c>
      <c r="H78">
        <v>9</v>
      </c>
      <c r="I78">
        <v>8</v>
      </c>
      <c r="J78">
        <v>5</v>
      </c>
      <c r="K78">
        <v>5</v>
      </c>
      <c r="L78">
        <v>9</v>
      </c>
      <c r="M78">
        <v>6</v>
      </c>
    </row>
    <row r="79" spans="1:13">
      <c r="A79" s="11" t="s">
        <v>8</v>
      </c>
      <c r="B79" s="11" t="s">
        <v>9</v>
      </c>
      <c r="C79">
        <v>13.67</v>
      </c>
      <c r="D79">
        <v>11.33</v>
      </c>
      <c r="E79">
        <v>9.17</v>
      </c>
      <c r="F79">
        <v>10</v>
      </c>
      <c r="G79">
        <v>6</v>
      </c>
      <c r="H79">
        <v>11.5</v>
      </c>
      <c r="I79">
        <v>14.33</v>
      </c>
      <c r="J79">
        <v>4.33</v>
      </c>
      <c r="K79">
        <v>6</v>
      </c>
      <c r="L79">
        <v>18.5</v>
      </c>
      <c r="M79">
        <v>7.65</v>
      </c>
    </row>
    <row r="80" spans="1:13">
      <c r="A80" s="11" t="s">
        <v>16</v>
      </c>
      <c r="B80" s="11" t="s">
        <v>61</v>
      </c>
      <c r="C80">
        <v>7</v>
      </c>
      <c r="D80">
        <v>3</v>
      </c>
      <c r="E80">
        <v>5</v>
      </c>
      <c r="F80">
        <v>3</v>
      </c>
      <c r="G80">
        <v>4</v>
      </c>
      <c r="H80">
        <v>17</v>
      </c>
      <c r="I80">
        <v>10</v>
      </c>
      <c r="J80">
        <v>14</v>
      </c>
      <c r="K80">
        <v>9</v>
      </c>
      <c r="L80">
        <v>9</v>
      </c>
      <c r="M80">
        <v>6</v>
      </c>
    </row>
    <row r="81" spans="1:17">
      <c r="A81" s="11" t="s">
        <v>16</v>
      </c>
      <c r="B81" s="11" t="s">
        <v>9</v>
      </c>
      <c r="C81">
        <v>10</v>
      </c>
      <c r="D81">
        <v>6</v>
      </c>
      <c r="E81">
        <v>3.5</v>
      </c>
      <c r="F81">
        <v>9</v>
      </c>
      <c r="G81">
        <v>3</v>
      </c>
      <c r="H81">
        <v>6</v>
      </c>
      <c r="I81">
        <v>12.33</v>
      </c>
      <c r="J81">
        <v>6.83</v>
      </c>
      <c r="K81">
        <v>8.5</v>
      </c>
      <c r="L81">
        <v>7.5</v>
      </c>
      <c r="M81">
        <v>4.5</v>
      </c>
    </row>
    <row r="83" spans="1:17" s="10" customFormat="1">
      <c r="A83" s="10" t="s">
        <v>62</v>
      </c>
    </row>
    <row r="84" spans="1:17">
      <c r="B84" s="6" t="str">
        <f>C59</f>
        <v>6/25/2018</v>
      </c>
      <c r="C84" s="6" t="str">
        <f t="shared" ref="C84:M84" si="0">D59</f>
        <v>7/23/2018</v>
      </c>
      <c r="D84" s="6" t="str">
        <f t="shared" si="0"/>
        <v>8/20/2018</v>
      </c>
      <c r="E84" s="6" t="str">
        <f t="shared" si="0"/>
        <v>10/8/2018</v>
      </c>
      <c r="F84" s="6" t="str">
        <f t="shared" si="0"/>
        <v>11/5/2018</v>
      </c>
      <c r="G84" s="6" t="str">
        <f t="shared" si="0"/>
        <v>12/3/2018</v>
      </c>
      <c r="H84" s="6" t="str">
        <f t="shared" si="0"/>
        <v>1/2/2019</v>
      </c>
      <c r="I84" s="6" t="str">
        <f t="shared" si="0"/>
        <v>1/28/2019</v>
      </c>
      <c r="J84" s="6" t="str">
        <f t="shared" si="0"/>
        <v>2/25/2019</v>
      </c>
      <c r="K84" s="6">
        <f t="shared" si="0"/>
        <v>43549</v>
      </c>
      <c r="L84" s="6">
        <f t="shared" si="0"/>
        <v>43577</v>
      </c>
      <c r="M84" s="6">
        <f t="shared" si="0"/>
        <v>0</v>
      </c>
      <c r="N84" s="6"/>
      <c r="O84" s="6" t="s">
        <v>63</v>
      </c>
      <c r="P84" s="6"/>
      <c r="Q84" s="6"/>
    </row>
    <row r="85" spans="1:17">
      <c r="A85" t="str">
        <f>A60</f>
        <v>liangmin</v>
      </c>
      <c r="B85">
        <f>C61-C60</f>
        <v>2.17</v>
      </c>
      <c r="C85">
        <f t="shared" ref="C85:G85" si="1">D61-D60</f>
        <v>2.33</v>
      </c>
      <c r="D85">
        <f t="shared" si="1"/>
        <v>-2</v>
      </c>
      <c r="E85">
        <f t="shared" si="1"/>
        <v>4.67</v>
      </c>
      <c r="F85">
        <f t="shared" si="1"/>
        <v>-3</v>
      </c>
      <c r="G85">
        <f t="shared" si="1"/>
        <v>2</v>
      </c>
      <c r="O85">
        <f>SUM(B85:M85)</f>
        <v>6.17</v>
      </c>
    </row>
    <row r="86" spans="1:17">
      <c r="A86" t="str">
        <f>A62</f>
        <v>hongyi</v>
      </c>
      <c r="B86">
        <f>C63-C62</f>
        <v>4.5</v>
      </c>
      <c r="C86">
        <f t="shared" ref="C86:G86" si="2">D63-D62</f>
        <v>7.5</v>
      </c>
      <c r="D86">
        <f t="shared" si="2"/>
        <v>2.17</v>
      </c>
      <c r="E86">
        <f t="shared" si="2"/>
        <v>2</v>
      </c>
      <c r="F86">
        <f t="shared" si="2"/>
        <v>1</v>
      </c>
      <c r="G86">
        <f t="shared" si="2"/>
        <v>3</v>
      </c>
      <c r="O86">
        <f>SUM(B86:G86)</f>
        <v>20.170000000000002</v>
      </c>
    </row>
    <row r="87" spans="1:17">
      <c r="A87" t="str">
        <f>A64</f>
        <v>yingjun</v>
      </c>
      <c r="B87">
        <f>C65-C64</f>
        <v>4</v>
      </c>
      <c r="C87">
        <f t="shared" ref="C87:G87" si="3">D65-D64</f>
        <v>2</v>
      </c>
      <c r="D87">
        <f t="shared" si="3"/>
        <v>-2</v>
      </c>
      <c r="E87">
        <f t="shared" si="3"/>
        <v>0</v>
      </c>
      <c r="F87">
        <f t="shared" si="3"/>
        <v>-2.5</v>
      </c>
      <c r="G87">
        <f t="shared" si="3"/>
        <v>-9</v>
      </c>
      <c r="O87">
        <f t="shared" ref="O87:O95" si="4">SUM(B87:G87)</f>
        <v>-7.5</v>
      </c>
    </row>
    <row r="88" spans="1:17">
      <c r="A88" t="str">
        <f>A66</f>
        <v>alice</v>
      </c>
      <c r="B88">
        <f>C67-C66</f>
        <v>1.17</v>
      </c>
      <c r="C88">
        <f t="shared" ref="C88:G88" si="5">D67-D66</f>
        <v>3.33</v>
      </c>
      <c r="D88">
        <f t="shared" si="5"/>
        <v>5.17</v>
      </c>
      <c r="E88">
        <f t="shared" si="5"/>
        <v>4.67</v>
      </c>
      <c r="F88">
        <f t="shared" si="5"/>
        <v>0</v>
      </c>
      <c r="G88">
        <f t="shared" si="5"/>
        <v>-1.33</v>
      </c>
      <c r="O88">
        <f t="shared" si="4"/>
        <v>13.01</v>
      </c>
    </row>
    <row r="89" spans="1:17">
      <c r="A89" t="str">
        <f>A68</f>
        <v>zhilong</v>
      </c>
      <c r="B89">
        <f>C69-C68</f>
        <v>0</v>
      </c>
      <c r="C89">
        <f t="shared" ref="C89:G89" si="6">D69-D68</f>
        <v>2</v>
      </c>
      <c r="D89">
        <f t="shared" si="6"/>
        <v>-7</v>
      </c>
      <c r="E89">
        <f t="shared" si="6"/>
        <v>3</v>
      </c>
      <c r="F89">
        <f t="shared" si="6"/>
        <v>-2</v>
      </c>
      <c r="G89">
        <f t="shared" si="6"/>
        <v>3.17</v>
      </c>
      <c r="O89">
        <f t="shared" si="4"/>
        <v>-0.83000000000000007</v>
      </c>
    </row>
    <row r="90" spans="1:17">
      <c r="A90" t="str">
        <f>A70</f>
        <v>zhaohe</v>
      </c>
      <c r="B90">
        <f>C71-C70</f>
        <v>0</v>
      </c>
      <c r="C90">
        <f t="shared" ref="C90:G90" si="7">D71-D70</f>
        <v>0</v>
      </c>
      <c r="D90">
        <f t="shared" si="7"/>
        <v>0</v>
      </c>
      <c r="E90">
        <f t="shared" si="7"/>
        <v>0</v>
      </c>
      <c r="F90">
        <f t="shared" si="7"/>
        <v>-2</v>
      </c>
      <c r="G90">
        <f t="shared" si="7"/>
        <v>0.5</v>
      </c>
      <c r="O90">
        <f t="shared" si="4"/>
        <v>-1.5</v>
      </c>
    </row>
    <row r="91" spans="1:17">
      <c r="A91" t="str">
        <f>A72</f>
        <v>weifeng</v>
      </c>
      <c r="B91">
        <f>C73-C72</f>
        <v>3</v>
      </c>
      <c r="C91">
        <f t="shared" ref="C91:G91" si="8">D73-D72</f>
        <v>-1</v>
      </c>
      <c r="D91">
        <f t="shared" si="8"/>
        <v>-3</v>
      </c>
      <c r="E91">
        <f t="shared" si="8"/>
        <v>0</v>
      </c>
      <c r="F91">
        <f t="shared" si="8"/>
        <v>3.5</v>
      </c>
      <c r="G91">
        <f t="shared" si="8"/>
        <v>-3</v>
      </c>
      <c r="O91">
        <f t="shared" si="4"/>
        <v>-0.5</v>
      </c>
    </row>
    <row r="92" spans="1:17">
      <c r="A92" t="str">
        <f>A74</f>
        <v>chenchen</v>
      </c>
      <c r="B92">
        <f>C75-C74</f>
        <v>1</v>
      </c>
      <c r="C92">
        <f t="shared" ref="C92:G92" si="9">D75-D74</f>
        <v>2</v>
      </c>
      <c r="D92">
        <f t="shared" si="9"/>
        <v>-3.5</v>
      </c>
      <c r="E92">
        <f t="shared" si="9"/>
        <v>3.67</v>
      </c>
      <c r="F92">
        <f t="shared" si="9"/>
        <v>-2</v>
      </c>
      <c r="G92">
        <f t="shared" si="9"/>
        <v>-9.83</v>
      </c>
      <c r="O92">
        <f t="shared" si="4"/>
        <v>-8.66</v>
      </c>
    </row>
    <row r="93" spans="1:17">
      <c r="A93" t="str">
        <f>A76</f>
        <v>shaobin</v>
      </c>
      <c r="B93">
        <f>C77-C76</f>
        <v>0.5</v>
      </c>
      <c r="C93">
        <f t="shared" ref="C93:G93" si="10">D77-D76</f>
        <v>-2.5</v>
      </c>
      <c r="D93">
        <f t="shared" si="10"/>
        <v>-1</v>
      </c>
      <c r="E93">
        <f t="shared" si="10"/>
        <v>-1</v>
      </c>
      <c r="F93">
        <f t="shared" si="10"/>
        <v>1</v>
      </c>
      <c r="G93">
        <f t="shared" si="10"/>
        <v>2</v>
      </c>
      <c r="O93">
        <f t="shared" si="4"/>
        <v>-1</v>
      </c>
    </row>
    <row r="94" spans="1:17">
      <c r="A94" t="str">
        <f>A78</f>
        <v>weili</v>
      </c>
      <c r="B94">
        <f>C79-C78</f>
        <v>0.66999999999999993</v>
      </c>
      <c r="C94">
        <f t="shared" ref="C94:G94" si="11">D79-D78</f>
        <v>2.33</v>
      </c>
      <c r="D94">
        <f t="shared" si="11"/>
        <v>3.17</v>
      </c>
      <c r="E94">
        <f t="shared" si="11"/>
        <v>4</v>
      </c>
      <c r="F94">
        <f t="shared" si="11"/>
        <v>-5</v>
      </c>
      <c r="G94">
        <f t="shared" si="11"/>
        <v>2.5</v>
      </c>
      <c r="O94">
        <f t="shared" si="4"/>
        <v>7.67</v>
      </c>
    </row>
    <row r="95" spans="1:17">
      <c r="A95" t="str">
        <f>A80</f>
        <v>wufang</v>
      </c>
      <c r="B95">
        <f>C81-C80</f>
        <v>3</v>
      </c>
      <c r="C95">
        <f t="shared" ref="C95:G95" si="12">D81-D80</f>
        <v>3</v>
      </c>
      <c r="D95">
        <f t="shared" si="12"/>
        <v>-1.5</v>
      </c>
      <c r="E95">
        <f t="shared" si="12"/>
        <v>6</v>
      </c>
      <c r="F95">
        <f t="shared" si="12"/>
        <v>-1</v>
      </c>
      <c r="G95">
        <f t="shared" si="12"/>
        <v>-11</v>
      </c>
      <c r="O95">
        <f t="shared" si="4"/>
        <v>-1.5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00747F1F7064741A50E850C903291CE" ma:contentTypeVersion="8" ma:contentTypeDescription="Create a new document." ma:contentTypeScope="" ma:versionID="2cb1027e542581746ed3ff9f73f2d666">
  <xsd:schema xmlns:xsd="http://www.w3.org/2001/XMLSchema" xmlns:xs="http://www.w3.org/2001/XMLSchema" xmlns:p="http://schemas.microsoft.com/office/2006/metadata/properties" xmlns:ns2="16860e7e-282a-4827-b3d9-408afbf5b752" xmlns:ns3="352b4980-4cff-4cf8-aef1-410da29697ec" targetNamespace="http://schemas.microsoft.com/office/2006/metadata/properties" ma:root="true" ma:fieldsID="dcefb821608f9e585ff53091e4ed0399" ns2:_="" ns3:_="">
    <xsd:import namespace="16860e7e-282a-4827-b3d9-408afbf5b752"/>
    <xsd:import namespace="352b4980-4cff-4cf8-aef1-410da29697e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EventHashCode" minOccurs="0"/>
                <xsd:element ref="ns2:MediaServiceGenerationTime" minOccurs="0"/>
                <xsd:element ref="ns2:MediaServiceAutoTags" minOccurs="0"/>
                <xsd:element ref="ns2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860e7e-282a-4827-b3d9-408afbf5b75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52b4980-4cff-4cf8-aef1-410da29697ec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6E9D169-BD12-4E68-8756-798B4DD5202A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D0821E22-FE07-44A1-8C2D-7FA2C8258930}">
  <ds:schemaRefs>
    <ds:schemaRef ds:uri="16860e7e-282a-4827-b3d9-408afbf5b752"/>
    <ds:schemaRef ds:uri="http://purl.org/dc/elements/1.1/"/>
    <ds:schemaRef ds:uri="http://schemas.microsoft.com/office/infopath/2007/PartnerControls"/>
    <ds:schemaRef ds:uri="http://purl.org/dc/terms/"/>
    <ds:schemaRef ds:uri="http://schemas.microsoft.com/office/2006/metadata/properties"/>
    <ds:schemaRef ds:uri="http://schemas.microsoft.com/office/2006/documentManagement/types"/>
    <ds:schemaRef ds:uri="http://schemas.openxmlformats.org/package/2006/metadata/core-properties"/>
    <ds:schemaRef ds:uri="352b4980-4cff-4cf8-aef1-410da29697ec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53D32FA9-53C6-42B6-935B-21AAB5C44E6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6860e7e-282a-4827-b3d9-408afbf5b752"/>
    <ds:schemaRef ds:uri="352b4980-4cff-4cf8-aef1-410da29697e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Weekly</vt:lpstr>
      <vt:lpstr>Analyze</vt:lpstr>
      <vt:lpstr>Rules</vt:lpstr>
      <vt:lpstr>WSummary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2006-09-13T11:21:51Z</dcterms:created>
  <dcterms:modified xsi:type="dcterms:W3CDTF">2019-05-05T07:06:49Z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0x010100900747F1F7064741A50E850C903291CE</vt:lpwstr>
  </property>
  <property fmtid="{D5CDD505-2E9C-101B-9397-08002B2CF9AE}" pid="3" name="AuthorIds_UIVersion_40960">
    <vt:lpwstr>14</vt:lpwstr>
  </property>
  <property fmtid="{D5CDD505-2E9C-101B-9397-08002B2CF9AE}" pid="4" name="AuthorIds_UIVersion_62976">
    <vt:lpwstr>14</vt:lpwstr>
  </property>
</Properties>
</file>